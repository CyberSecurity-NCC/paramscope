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Erio\Desktop\ExperimentResults\_ExperimentsResultsNew\CryptoAPI-Bench\"/>
    </mc:Choice>
  </mc:AlternateContent>
  <xr:revisionPtr revIDLastSave="0" documentId="13_ncr:1_{D9D8D612-D4B1-494F-969E-D4337F85C61D}" xr6:coauthVersionLast="36" xr6:coauthVersionMax="36" xr10:uidLastSave="{00000000-0000-0000-0000-000000000000}"/>
  <bookViews>
    <workbookView xWindow="0" yWindow="0" windowWidth="22260" windowHeight="12645" xr2:uid="{00000000-000D-0000-FFFF-FFFF00000000}"/>
  </bookViews>
  <sheets>
    <sheet name="Misuse Classification Results" sheetId="3" r:id="rId1"/>
    <sheet name="Param Resolve Results" sheetId="1"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3" l="1"/>
  <c r="I4" i="3"/>
  <c r="H5" i="3"/>
  <c r="H4" i="3"/>
  <c r="G21" i="1" l="1"/>
  <c r="F21" i="1"/>
  <c r="E21" i="1"/>
  <c r="D21" i="1"/>
  <c r="H20" i="1"/>
  <c r="H19" i="1"/>
  <c r="H18" i="1"/>
  <c r="H17" i="1"/>
  <c r="H16" i="1"/>
  <c r="H15" i="1"/>
  <c r="H14" i="1"/>
  <c r="H13" i="1"/>
  <c r="H12" i="1"/>
  <c r="H11" i="1"/>
  <c r="H10" i="1"/>
  <c r="H9" i="1"/>
  <c r="H8" i="1"/>
  <c r="H7" i="1"/>
  <c r="H6" i="1"/>
  <c r="H5" i="1"/>
  <c r="H4" i="1"/>
  <c r="H21" i="1" l="1"/>
</calcChain>
</file>

<file path=xl/sharedStrings.xml><?xml version="1.0" encoding="utf-8"?>
<sst xmlns="http://schemas.openxmlformats.org/spreadsheetml/2006/main" count="91" uniqueCount="63">
  <si>
    <t>CryptoAPI-Bench</t>
    <phoneticPr fontId="1" type="noConversion"/>
  </si>
  <si>
    <t>&lt;java.security.KeyPairGenerator: java.security.KeyPairGenerator getInstance(java.lang.String)&gt;_paramList_0</t>
    <phoneticPr fontId="1" type="noConversion"/>
  </si>
  <si>
    <t>&lt;java.security.KeyPairGenerator: void initialize(int)&gt;_paramList_0</t>
    <phoneticPr fontId="1" type="noConversion"/>
  </si>
  <si>
    <t>&lt;java.security.KeyStore: void load(java.io.InputStream,char[])&gt;_paramList_1</t>
    <phoneticPr fontId="1" type="noConversion"/>
  </si>
  <si>
    <t>&lt;java.security.MessageDigest: java.security.MessageDigest getInstance(java.lang.String)&gt;_paramList_0</t>
    <phoneticPr fontId="1" type="noConversion"/>
  </si>
  <si>
    <t>&lt;java.security.SecureRandom: void &lt;init&gt;(byte[])&gt;_paramList_0</t>
    <phoneticPr fontId="1" type="noConversion"/>
  </si>
  <si>
    <t>String</t>
    <phoneticPr fontId="1" type="noConversion"/>
  </si>
  <si>
    <t>int</t>
    <phoneticPr fontId="1" type="noConversion"/>
  </si>
  <si>
    <t>char[]</t>
    <phoneticPr fontId="1" type="noConversion"/>
  </si>
  <si>
    <t>byte[]</t>
    <phoneticPr fontId="1" type="noConversion"/>
  </si>
  <si>
    <t>&lt;java.security.SecureRandom: void setSeed(byte[])&gt;_paramList_0</t>
    <phoneticPr fontId="1" type="noConversion"/>
  </si>
  <si>
    <t>&lt;java.security.SecureRandom: void setSeed(long)&gt;_paramList_0</t>
    <phoneticPr fontId="1" type="noConversion"/>
  </si>
  <si>
    <t>long</t>
    <phoneticPr fontId="1" type="noConversion"/>
  </si>
  <si>
    <t>&lt;javax.crypto.Cipher: javax.crypto.Cipher getInstance(java.lang.String)&gt;_paramList_0</t>
    <phoneticPr fontId="1" type="noConversion"/>
  </si>
  <si>
    <t>Sting</t>
    <phoneticPr fontId="1" type="noConversion"/>
  </si>
  <si>
    <t>&lt;javax.crypto.Mac: javax.crypto.Mac getInstance(java.lang.String)&gt;_paramList_0</t>
    <phoneticPr fontId="1" type="noConversion"/>
  </si>
  <si>
    <t>&lt;javax.crypto.spec.IvParameterSpec: void &lt;init&gt;(byte[])&gt;_paramList_0</t>
    <phoneticPr fontId="1" type="noConversion"/>
  </si>
  <si>
    <t>&lt;javax.crypto.spec.PBEKeySpec: void &lt;init&gt;(char[],byte[],int,int)&gt;_paramList_0</t>
    <phoneticPr fontId="1" type="noConversion"/>
  </si>
  <si>
    <t>&lt;javax.crypto.spec.PBEKeySpec: void &lt;init&gt;(char[],byte[],int,int)&gt;_paramList_1</t>
    <phoneticPr fontId="1" type="noConversion"/>
  </si>
  <si>
    <t>salt</t>
    <phoneticPr fontId="1" type="noConversion"/>
  </si>
  <si>
    <t>&lt;javax.crypto.spec.PBEKeySpec: void &lt;init&gt;(char[],byte[],int,int)&gt;_paramList_2</t>
    <phoneticPr fontId="1" type="noConversion"/>
  </si>
  <si>
    <t>&lt;javax.crypto.spec.PBEParameterSpec: void &lt;init&gt;(byte[],int)&gt;_paramList_0</t>
    <phoneticPr fontId="1" type="noConversion"/>
  </si>
  <si>
    <t>&lt;javax.crypto.spec.PBEParameterSpec: void &lt;init&gt;(byte[],int)&gt;_paramList_1</t>
    <phoneticPr fontId="1" type="noConversion"/>
  </si>
  <si>
    <t>&lt;javax.crypto.spec.SecretKeySpec: void &lt;init&gt;(byte[],java.lang.String)&gt;_paramList_0</t>
    <phoneticPr fontId="1" type="noConversion"/>
  </si>
  <si>
    <t>algorithm name</t>
    <phoneticPr fontId="1" type="noConversion"/>
  </si>
  <si>
    <t>key size</t>
    <phoneticPr fontId="1" type="noConversion"/>
  </si>
  <si>
    <t>key</t>
    <phoneticPr fontId="1" type="noConversion"/>
  </si>
  <si>
    <t>PRNG seed</t>
    <phoneticPr fontId="1" type="noConversion"/>
  </si>
  <si>
    <t>iteration times</t>
    <phoneticPr fontId="1" type="noConversion"/>
  </si>
  <si>
    <t>&lt;javax.crypto.spec.SecretKeySpec: void &lt;init&gt;(byte[],java.lang.String)&gt;_paramList_1</t>
    <phoneticPr fontId="1" type="noConversion"/>
  </si>
  <si>
    <t>Positive cases</t>
    <phoneticPr fontId="1" type="noConversion"/>
  </si>
  <si>
    <t>FP</t>
    <phoneticPr fontId="1" type="noConversion"/>
  </si>
  <si>
    <t>FN</t>
    <phoneticPr fontId="1" type="noConversion"/>
  </si>
  <si>
    <t>This sheet records the results of parameter resolution</t>
    <phoneticPr fontId="1" type="noConversion"/>
  </si>
  <si>
    <t>This sheet records the results of misuse classification.</t>
    <phoneticPr fontId="1" type="noConversion"/>
  </si>
  <si>
    <t>This table records the results of ParamScope on CryptoAPI-Bench.</t>
    <phoneticPr fontId="1" type="noConversion"/>
  </si>
  <si>
    <t>ParamScope results</t>
    <phoneticPr fontId="1" type="noConversion"/>
  </si>
  <si>
    <t>Positive reports</t>
    <phoneticPr fontId="1" type="noConversion"/>
  </si>
  <si>
    <t>Precision</t>
    <phoneticPr fontId="1" type="noConversion"/>
  </si>
  <si>
    <t>Recall</t>
    <phoneticPr fontId="1" type="noConversion"/>
  </si>
  <si>
    <t>CryptoAPI-Bench Info</t>
    <phoneticPr fontId="1" type="noConversion"/>
  </si>
  <si>
    <t>CryptoAPI-Bench Cases</t>
    <phoneticPr fontId="1" type="noConversion"/>
  </si>
  <si>
    <t>All Related cases</t>
    <phoneticPr fontId="1" type="noConversion"/>
  </si>
  <si>
    <t>Related cases without path sensitivity</t>
    <phoneticPr fontId="1" type="noConversion"/>
  </si>
  <si>
    <t>132 (34 Negative)</t>
    <phoneticPr fontId="1" type="noConversion"/>
  </si>
  <si>
    <t>132 (15 Negative)</t>
    <phoneticPr fontId="1" type="noConversion"/>
  </si>
  <si>
    <t>\</t>
    <phoneticPr fontId="1" type="noConversion"/>
  </si>
  <si>
    <t>Note and FP/FN analysis</t>
    <phoneticPr fontId="1" type="noConversion"/>
  </si>
  <si>
    <t>API and Paramter Info</t>
    <phoneticPr fontId="1" type="noConversion"/>
  </si>
  <si>
    <t>Parameter Type</t>
    <phoneticPr fontId="1" type="noConversion"/>
  </si>
  <si>
    <t>Parameter Info</t>
    <phoneticPr fontId="1" type="noConversion"/>
  </si>
  <si>
    <t>Detection count</t>
    <phoneticPr fontId="1" type="noConversion"/>
  </si>
  <si>
    <t>Null results</t>
    <phoneticPr fontId="1" type="noConversion"/>
  </si>
  <si>
    <t>Incorrect solution</t>
    <phoneticPr fontId="1" type="noConversion"/>
  </si>
  <si>
    <t>Correct solution</t>
    <phoneticPr fontId="1" type="noConversion"/>
  </si>
  <si>
    <t>Accuracy</t>
    <phoneticPr fontId="1" type="noConversion"/>
  </si>
  <si>
    <t>bytes of IV</t>
    <phoneticPr fontId="1" type="noConversion"/>
  </si>
  <si>
    <r>
      <t>1. ParamScope focuses on the accuracy of cryptographic parameter resolution, so we excluded SSL cases (14 cases) from CryptoAPI-Bench, see</t>
    </r>
    <r>
      <rPr>
        <i/>
        <sz val="10"/>
        <color theme="1"/>
        <rFont val="等线"/>
        <family val="3"/>
        <charset val="134"/>
        <scheme val="minor"/>
      </rPr>
      <t xml:space="preserve"> CryptoAPI-Bench_details.xlsx</t>
    </r>
    <r>
      <rPr>
        <sz val="10"/>
        <color theme="1"/>
        <rFont val="等线"/>
        <family val="3"/>
        <charset val="134"/>
        <scheme val="minor"/>
      </rPr>
      <t xml:space="preserve"> for details.
2. 2 cases are not avaliable on github, see </t>
    </r>
    <r>
      <rPr>
        <i/>
        <sz val="10"/>
        <color theme="1"/>
        <rFont val="等线"/>
        <family val="3"/>
        <charset val="134"/>
        <scheme val="minor"/>
      </rPr>
      <t>CryptoAPI-Bench_details.xlsx</t>
    </r>
    <r>
      <rPr>
        <sz val="10"/>
        <color theme="1"/>
        <rFont val="等线"/>
        <family val="3"/>
        <charset val="134"/>
        <scheme val="minor"/>
      </rPr>
      <t xml:space="preserve"> for details.
3. We confirmed that all FP were caused by path-sensitive cases, so we additionally reported the results excluding path-sensitive cases.
4. We confirmed that all FN (2 cases), were caused by the lack of actual callers.</t>
    </r>
    <phoneticPr fontId="1" type="noConversion"/>
  </si>
  <si>
    <t>1. We confirmed all failed value resolution (2 null results) were caused by the cases depending on external environment variables (System.getProperty("pass.key")).
2. We confirmed that all incorrect resolution results (11 incorrect solution results) were caused by path-sensitive cases.</t>
    <phoneticPr fontId="1" type="noConversion"/>
  </si>
  <si>
    <t>Note and Incorrect solution analysis</t>
    <phoneticPr fontId="1" type="noConversion"/>
  </si>
  <si>
    <t>Accuracy</t>
    <phoneticPr fontId="1" type="noConversion"/>
  </si>
  <si>
    <t>\</t>
    <phoneticPr fontId="1" type="noConversion"/>
  </si>
  <si>
    <t>All cases (Including http, SSL cases)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</si>
</sst>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7" x14ac:knownFonts="1">
    <font>
      <sz val="11"/>
      <color theme="1"/>
      <name val="等线"/>
      <family val="2"/>
      <scheme val="minor"/>
    </font>
    <font>
      <sz val="9"/>
      <name val="等线"/>
      <family val="3"/>
      <charset val="134"/>
      <scheme val="minor"/>
    </font>
    <font>
      <b/>
      <sz val="14"/>
      <color theme="1"/>
      <name val="等线"/>
      <family val="3"/>
      <charset val="134"/>
      <scheme val="minor"/>
    </font>
    <font>
      <b/>
      <sz val="11"/>
      <color theme="1"/>
      <name val="等线"/>
      <family val="3"/>
      <charset val="134"/>
      <scheme val="minor"/>
    </font>
    <font>
      <sz val="11"/>
      <color theme="1"/>
      <name val="等线"/>
      <family val="3"/>
      <charset val="134"/>
      <scheme val="minor"/>
    </font>
    <font>
      <sz val="10"/>
      <color theme="1"/>
      <name val="等线"/>
      <family val="3"/>
      <charset val="134"/>
      <scheme val="minor"/>
    </font>
    <font>
      <i/>
      <sz val="10"/>
      <color theme="1"/>
      <name val="等线"/>
      <family val="3"/>
      <charset val="134"/>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applyAlignment="1">
      <alignment wrapText="1"/>
    </xf>
    <xf numFmtId="0" fontId="3" fillId="0" borderId="0" xfId="0" applyFont="1" applyAlignment="1">
      <alignment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vertical="center"/>
    </xf>
    <xf numFmtId="0" fontId="2" fillId="3" borderId="3" xfId="0" applyFont="1" applyFill="1" applyBorder="1" applyAlignment="1">
      <alignment horizontal="center" vertical="center"/>
    </xf>
    <xf numFmtId="0" fontId="0" fillId="3" borderId="1" xfId="0" applyFill="1" applyBorder="1" applyAlignment="1">
      <alignment horizontal="center" vertical="center"/>
    </xf>
    <xf numFmtId="0" fontId="2" fillId="3" borderId="1" xfId="0" applyFont="1" applyFill="1" applyBorder="1" applyAlignment="1">
      <alignment horizont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0" fillId="2" borderId="1" xfId="0" applyFill="1" applyBorder="1" applyAlignment="1">
      <alignment horizontal="left" vertical="center"/>
    </xf>
    <xf numFmtId="0" fontId="0" fillId="2" borderId="2" xfId="0" applyFill="1" applyBorder="1" applyAlignment="1">
      <alignment horizontal="left" vertical="center"/>
    </xf>
    <xf numFmtId="176" fontId="0" fillId="3" borderId="1" xfId="0" applyNumberFormat="1" applyFill="1" applyBorder="1" applyAlignment="1">
      <alignment horizontal="center" vertical="center"/>
    </xf>
    <xf numFmtId="176" fontId="4" fillId="3" borderId="1" xfId="0" applyNumberFormat="1" applyFont="1" applyFill="1" applyBorder="1" applyAlignment="1">
      <alignment horizontal="center" vertical="center"/>
    </xf>
    <xf numFmtId="176" fontId="3"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5" fillId="3" borderId="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DE3D-3CB1-464A-BAFA-66B9B01E499B}">
  <dimension ref="A1:J6"/>
  <sheetViews>
    <sheetView tabSelected="1" zoomScaleNormal="100" workbookViewId="0">
      <selection activeCell="H4" sqref="H4"/>
    </sheetView>
  </sheetViews>
  <sheetFormatPr defaultRowHeight="14.25" x14ac:dyDescent="0.2"/>
  <cols>
    <col min="1" max="1" width="34" bestFit="1" customWidth="1"/>
    <col min="2" max="2" width="33" bestFit="1" customWidth="1"/>
    <col min="3" max="3" width="21.125" bestFit="1" customWidth="1"/>
    <col min="4" max="4" width="22.125" customWidth="1"/>
    <col min="5" max="6" width="14" bestFit="1" customWidth="1"/>
    <col min="7" max="7" width="14" customWidth="1"/>
    <col min="8" max="8" width="13.125" customWidth="1"/>
    <col min="9" max="9" width="11.625" customWidth="1"/>
    <col min="10" max="10" width="144.75" customWidth="1"/>
  </cols>
  <sheetData>
    <row r="1" spans="1:10" ht="43.5" x14ac:dyDescent="0.25">
      <c r="A1" s="1" t="s">
        <v>0</v>
      </c>
      <c r="B1" s="2" t="s">
        <v>35</v>
      </c>
      <c r="C1" s="2" t="s">
        <v>34</v>
      </c>
    </row>
    <row r="2" spans="1:10" ht="18" x14ac:dyDescent="0.25">
      <c r="A2" s="24" t="s">
        <v>40</v>
      </c>
      <c r="B2" s="25"/>
      <c r="C2" s="26"/>
      <c r="D2" s="20" t="s">
        <v>36</v>
      </c>
      <c r="E2" s="20"/>
      <c r="F2" s="20"/>
      <c r="G2" s="20"/>
      <c r="H2" s="20"/>
      <c r="I2" s="20"/>
      <c r="J2" s="9" t="s">
        <v>47</v>
      </c>
    </row>
    <row r="3" spans="1:10" ht="18" x14ac:dyDescent="0.2">
      <c r="A3" s="4"/>
      <c r="B3" s="3" t="s">
        <v>41</v>
      </c>
      <c r="C3" s="3" t="s">
        <v>30</v>
      </c>
      <c r="D3" s="5" t="s">
        <v>37</v>
      </c>
      <c r="E3" s="5" t="s">
        <v>31</v>
      </c>
      <c r="F3" s="5" t="s">
        <v>32</v>
      </c>
      <c r="G3" s="19" t="s">
        <v>60</v>
      </c>
      <c r="H3" s="5" t="s">
        <v>38</v>
      </c>
      <c r="I3" s="5" t="s">
        <v>39</v>
      </c>
      <c r="J3" s="21" t="s">
        <v>57</v>
      </c>
    </row>
    <row r="4" spans="1:10" x14ac:dyDescent="0.2">
      <c r="A4" s="4" t="s">
        <v>42</v>
      </c>
      <c r="B4" s="4">
        <v>166</v>
      </c>
      <c r="C4" s="4" t="s">
        <v>44</v>
      </c>
      <c r="D4" s="11">
        <v>141</v>
      </c>
      <c r="E4" s="11">
        <v>11</v>
      </c>
      <c r="F4" s="11">
        <v>2</v>
      </c>
      <c r="G4" s="11">
        <v>0.92169999999999996</v>
      </c>
      <c r="H4" s="18">
        <f>(D4-E4) / D4</f>
        <v>0.92198581560283688</v>
      </c>
      <c r="I4" s="18">
        <f>(D4-F4)/(D4-F4+F4)</f>
        <v>0.98581560283687941</v>
      </c>
      <c r="J4" s="22"/>
    </row>
    <row r="5" spans="1:10" x14ac:dyDescent="0.2">
      <c r="A5" s="4" t="s">
        <v>43</v>
      </c>
      <c r="B5" s="4">
        <v>147</v>
      </c>
      <c r="C5" s="4" t="s">
        <v>45</v>
      </c>
      <c r="D5" s="8">
        <v>130</v>
      </c>
      <c r="E5" s="8">
        <v>0</v>
      </c>
      <c r="F5" s="8">
        <v>2</v>
      </c>
      <c r="G5" s="8">
        <v>0.98640000000000005</v>
      </c>
      <c r="H5" s="17">
        <f>(D5-E5) / D5</f>
        <v>1</v>
      </c>
      <c r="I5" s="17">
        <f>(D5-F5)/(D5-F5+F5)</f>
        <v>0.98461538461538467</v>
      </c>
      <c r="J5" s="22"/>
    </row>
    <row r="6" spans="1:10" x14ac:dyDescent="0.2">
      <c r="A6" s="4" t="s">
        <v>62</v>
      </c>
      <c r="B6" s="4">
        <v>182</v>
      </c>
      <c r="C6" s="4" t="s">
        <v>46</v>
      </c>
      <c r="D6" s="8" t="s">
        <v>46</v>
      </c>
      <c r="E6" s="8" t="s">
        <v>46</v>
      </c>
      <c r="F6" s="8" t="s">
        <v>46</v>
      </c>
      <c r="G6" s="8" t="s">
        <v>61</v>
      </c>
      <c r="H6" s="8" t="s">
        <v>46</v>
      </c>
      <c r="I6" s="8" t="s">
        <v>46</v>
      </c>
      <c r="J6" s="23"/>
    </row>
  </sheetData>
  <mergeCells count="3">
    <mergeCell ref="D2:I2"/>
    <mergeCell ref="J3:J6"/>
    <mergeCell ref="A2:C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zoomScaleNormal="100" workbookViewId="0">
      <selection activeCell="I4" sqref="I4:I21"/>
    </sheetView>
  </sheetViews>
  <sheetFormatPr defaultRowHeight="14.25" x14ac:dyDescent="0.2"/>
  <cols>
    <col min="1" max="1" width="91.625" bestFit="1" customWidth="1"/>
    <col min="2" max="2" width="24.125" bestFit="1" customWidth="1"/>
    <col min="3" max="3" width="20.5" bestFit="1" customWidth="1"/>
    <col min="4" max="4" width="20" bestFit="1" customWidth="1"/>
    <col min="5" max="5" width="19" bestFit="1" customWidth="1"/>
    <col min="6" max="6" width="20.875" bestFit="1" customWidth="1"/>
    <col min="7" max="7" width="19.75" bestFit="1" customWidth="1"/>
    <col min="8" max="8" width="14" bestFit="1" customWidth="1"/>
    <col min="9" max="9" width="47.125" customWidth="1"/>
  </cols>
  <sheetData>
    <row r="1" spans="1:9" ht="43.5" x14ac:dyDescent="0.25">
      <c r="A1" s="1" t="s">
        <v>0</v>
      </c>
      <c r="B1" s="2" t="s">
        <v>35</v>
      </c>
      <c r="C1" s="2" t="s">
        <v>33</v>
      </c>
    </row>
    <row r="2" spans="1:9" x14ac:dyDescent="0.2">
      <c r="A2" s="2"/>
      <c r="B2" s="2"/>
    </row>
    <row r="3" spans="1:9" ht="18" x14ac:dyDescent="0.2">
      <c r="A3" s="12" t="s">
        <v>48</v>
      </c>
      <c r="B3" s="12" t="s">
        <v>49</v>
      </c>
      <c r="C3" s="13" t="s">
        <v>50</v>
      </c>
      <c r="D3" s="5" t="s">
        <v>51</v>
      </c>
      <c r="E3" s="5" t="s">
        <v>52</v>
      </c>
      <c r="F3" s="5" t="s">
        <v>53</v>
      </c>
      <c r="G3" s="5" t="s">
        <v>54</v>
      </c>
      <c r="H3" s="5" t="s">
        <v>55</v>
      </c>
      <c r="I3" s="7" t="s">
        <v>59</v>
      </c>
    </row>
    <row r="4" spans="1:9" ht="14.25" customHeight="1" x14ac:dyDescent="0.2">
      <c r="A4" s="14" t="s">
        <v>1</v>
      </c>
      <c r="B4" s="14" t="s">
        <v>6</v>
      </c>
      <c r="C4" s="15" t="s">
        <v>24</v>
      </c>
      <c r="D4" s="8">
        <v>6</v>
      </c>
      <c r="E4" s="8">
        <v>0</v>
      </c>
      <c r="F4" s="8">
        <v>0</v>
      </c>
      <c r="G4" s="8">
        <v>6</v>
      </c>
      <c r="H4" s="16">
        <f>G4/D4</f>
        <v>1</v>
      </c>
      <c r="I4" s="27" t="s">
        <v>58</v>
      </c>
    </row>
    <row r="5" spans="1:9" x14ac:dyDescent="0.2">
      <c r="A5" s="14" t="s">
        <v>2</v>
      </c>
      <c r="B5" s="14" t="s">
        <v>7</v>
      </c>
      <c r="C5" s="15" t="s">
        <v>25</v>
      </c>
      <c r="D5" s="8">
        <v>6</v>
      </c>
      <c r="E5" s="8">
        <v>0</v>
      </c>
      <c r="F5" s="8">
        <v>1</v>
      </c>
      <c r="G5" s="8">
        <v>5</v>
      </c>
      <c r="H5" s="16">
        <f>G5/D5</f>
        <v>0.83333333333333337</v>
      </c>
      <c r="I5" s="27"/>
    </row>
    <row r="6" spans="1:9" x14ac:dyDescent="0.2">
      <c r="A6" s="14" t="s">
        <v>3</v>
      </c>
      <c r="B6" s="14" t="s">
        <v>8</v>
      </c>
      <c r="C6" s="15" t="s">
        <v>26</v>
      </c>
      <c r="D6" s="8">
        <v>10</v>
      </c>
      <c r="E6" s="8">
        <v>0</v>
      </c>
      <c r="F6" s="8">
        <v>0</v>
      </c>
      <c r="G6" s="8">
        <v>10</v>
      </c>
      <c r="H6" s="16">
        <f t="shared" ref="H6:H21" si="0">G6/D6</f>
        <v>1</v>
      </c>
      <c r="I6" s="27"/>
    </row>
    <row r="7" spans="1:9" x14ac:dyDescent="0.2">
      <c r="A7" s="14" t="s">
        <v>4</v>
      </c>
      <c r="B7" s="14" t="s">
        <v>6</v>
      </c>
      <c r="C7" s="15" t="s">
        <v>24</v>
      </c>
      <c r="D7" s="8">
        <v>33</v>
      </c>
      <c r="E7" s="8">
        <v>0</v>
      </c>
      <c r="F7" s="8">
        <v>4</v>
      </c>
      <c r="G7" s="8">
        <v>29</v>
      </c>
      <c r="H7" s="16">
        <f t="shared" si="0"/>
        <v>0.87878787878787878</v>
      </c>
      <c r="I7" s="27"/>
    </row>
    <row r="8" spans="1:9" x14ac:dyDescent="0.2">
      <c r="A8" s="14" t="s">
        <v>5</v>
      </c>
      <c r="B8" s="14" t="s">
        <v>9</v>
      </c>
      <c r="C8" s="15" t="s">
        <v>27</v>
      </c>
      <c r="D8" s="8">
        <v>8</v>
      </c>
      <c r="E8" s="8">
        <v>0</v>
      </c>
      <c r="F8" s="8">
        <v>0</v>
      </c>
      <c r="G8" s="8">
        <v>8</v>
      </c>
      <c r="H8" s="16">
        <f t="shared" si="0"/>
        <v>1</v>
      </c>
      <c r="I8" s="27"/>
    </row>
    <row r="9" spans="1:9" x14ac:dyDescent="0.2">
      <c r="A9" s="14" t="s">
        <v>10</v>
      </c>
      <c r="B9" s="14" t="s">
        <v>9</v>
      </c>
      <c r="C9" s="15" t="s">
        <v>27</v>
      </c>
      <c r="D9" s="8">
        <v>8</v>
      </c>
      <c r="E9" s="8">
        <v>0</v>
      </c>
      <c r="F9" s="8">
        <v>0</v>
      </c>
      <c r="G9" s="8">
        <v>8</v>
      </c>
      <c r="H9" s="16">
        <f t="shared" si="0"/>
        <v>1</v>
      </c>
      <c r="I9" s="27"/>
    </row>
    <row r="10" spans="1:9" x14ac:dyDescent="0.2">
      <c r="A10" s="14" t="s">
        <v>11</v>
      </c>
      <c r="B10" s="14" t="s">
        <v>12</v>
      </c>
      <c r="C10" s="15" t="s">
        <v>27</v>
      </c>
      <c r="D10" s="8">
        <v>1</v>
      </c>
      <c r="E10" s="8">
        <v>0</v>
      </c>
      <c r="F10" s="8">
        <v>0</v>
      </c>
      <c r="G10" s="8">
        <v>1</v>
      </c>
      <c r="H10" s="16">
        <f t="shared" si="0"/>
        <v>1</v>
      </c>
      <c r="I10" s="27"/>
    </row>
    <row r="11" spans="1:9" x14ac:dyDescent="0.2">
      <c r="A11" s="14" t="s">
        <v>13</v>
      </c>
      <c r="B11" s="14" t="s">
        <v>14</v>
      </c>
      <c r="C11" s="15" t="s">
        <v>24</v>
      </c>
      <c r="D11" s="8">
        <v>76</v>
      </c>
      <c r="E11" s="8">
        <v>0</v>
      </c>
      <c r="F11" s="8">
        <v>6</v>
      </c>
      <c r="G11" s="8">
        <v>70</v>
      </c>
      <c r="H11" s="16">
        <f t="shared" si="0"/>
        <v>0.92105263157894735</v>
      </c>
      <c r="I11" s="27"/>
    </row>
    <row r="12" spans="1:9" x14ac:dyDescent="0.2">
      <c r="A12" s="14" t="s">
        <v>15</v>
      </c>
      <c r="B12" s="14" t="s">
        <v>14</v>
      </c>
      <c r="C12" s="15" t="s">
        <v>24</v>
      </c>
      <c r="D12" s="8">
        <v>3</v>
      </c>
      <c r="E12" s="8">
        <v>0</v>
      </c>
      <c r="F12" s="8">
        <v>0</v>
      </c>
      <c r="G12" s="8">
        <v>3</v>
      </c>
      <c r="H12" s="16">
        <f t="shared" si="0"/>
        <v>1</v>
      </c>
      <c r="I12" s="27"/>
    </row>
    <row r="13" spans="1:9" x14ac:dyDescent="0.2">
      <c r="A13" s="14" t="s">
        <v>16</v>
      </c>
      <c r="B13" s="14" t="s">
        <v>9</v>
      </c>
      <c r="C13" s="15" t="s">
        <v>56</v>
      </c>
      <c r="D13" s="8">
        <v>10</v>
      </c>
      <c r="E13" s="8">
        <v>0</v>
      </c>
      <c r="F13" s="8">
        <v>0</v>
      </c>
      <c r="G13" s="8">
        <v>10</v>
      </c>
      <c r="H13" s="16">
        <f t="shared" si="0"/>
        <v>1</v>
      </c>
      <c r="I13" s="27"/>
    </row>
    <row r="14" spans="1:9" x14ac:dyDescent="0.2">
      <c r="A14" s="14" t="s">
        <v>17</v>
      </c>
      <c r="B14" s="14" t="s">
        <v>8</v>
      </c>
      <c r="C14" s="15" t="s">
        <v>26</v>
      </c>
      <c r="D14" s="8">
        <v>11</v>
      </c>
      <c r="E14" s="8">
        <v>0</v>
      </c>
      <c r="F14" s="8">
        <v>0</v>
      </c>
      <c r="G14" s="8">
        <v>11</v>
      </c>
      <c r="H14" s="16">
        <f t="shared" si="0"/>
        <v>1</v>
      </c>
      <c r="I14" s="27"/>
    </row>
    <row r="15" spans="1:9" x14ac:dyDescent="0.2">
      <c r="A15" s="14" t="s">
        <v>18</v>
      </c>
      <c r="B15" s="14" t="s">
        <v>9</v>
      </c>
      <c r="C15" s="15" t="s">
        <v>19</v>
      </c>
      <c r="D15" s="8">
        <v>11</v>
      </c>
      <c r="E15" s="8">
        <v>0</v>
      </c>
      <c r="F15" s="8">
        <v>0</v>
      </c>
      <c r="G15" s="8">
        <v>11</v>
      </c>
      <c r="H15" s="16">
        <f t="shared" si="0"/>
        <v>1</v>
      </c>
      <c r="I15" s="27"/>
    </row>
    <row r="16" spans="1:9" x14ac:dyDescent="0.2">
      <c r="A16" s="14" t="s">
        <v>20</v>
      </c>
      <c r="B16" s="14" t="s">
        <v>7</v>
      </c>
      <c r="C16" s="15" t="s">
        <v>28</v>
      </c>
      <c r="D16" s="8">
        <v>11</v>
      </c>
      <c r="E16" s="8">
        <v>0</v>
      </c>
      <c r="F16" s="8">
        <v>0</v>
      </c>
      <c r="G16" s="8">
        <v>11</v>
      </c>
      <c r="H16" s="16">
        <f t="shared" si="0"/>
        <v>1</v>
      </c>
      <c r="I16" s="27"/>
    </row>
    <row r="17" spans="1:9" x14ac:dyDescent="0.2">
      <c r="A17" s="14" t="s">
        <v>21</v>
      </c>
      <c r="B17" s="14" t="s">
        <v>9</v>
      </c>
      <c r="C17" s="15" t="s">
        <v>19</v>
      </c>
      <c r="D17" s="8">
        <v>20</v>
      </c>
      <c r="E17" s="8">
        <v>0</v>
      </c>
      <c r="F17" s="8">
        <v>0</v>
      </c>
      <c r="G17" s="8">
        <v>20</v>
      </c>
      <c r="H17" s="16">
        <f t="shared" si="0"/>
        <v>1</v>
      </c>
      <c r="I17" s="27"/>
    </row>
    <row r="18" spans="1:9" x14ac:dyDescent="0.2">
      <c r="A18" s="14" t="s">
        <v>22</v>
      </c>
      <c r="B18" s="14" t="s">
        <v>7</v>
      </c>
      <c r="C18" s="15" t="s">
        <v>28</v>
      </c>
      <c r="D18" s="8">
        <v>20</v>
      </c>
      <c r="E18" s="8">
        <v>0</v>
      </c>
      <c r="F18" s="8">
        <v>0</v>
      </c>
      <c r="G18" s="8">
        <v>20</v>
      </c>
      <c r="H18" s="16">
        <f t="shared" si="0"/>
        <v>1</v>
      </c>
      <c r="I18" s="27"/>
    </row>
    <row r="19" spans="1:9" x14ac:dyDescent="0.2">
      <c r="A19" s="14" t="s">
        <v>23</v>
      </c>
      <c r="B19" s="14" t="s">
        <v>9</v>
      </c>
      <c r="C19" s="15" t="s">
        <v>26</v>
      </c>
      <c r="D19" s="8">
        <v>17</v>
      </c>
      <c r="E19" s="8">
        <v>2</v>
      </c>
      <c r="F19" s="8">
        <v>0</v>
      </c>
      <c r="G19" s="8">
        <v>15</v>
      </c>
      <c r="H19" s="16">
        <f t="shared" si="0"/>
        <v>0.88235294117647056</v>
      </c>
      <c r="I19" s="27"/>
    </row>
    <row r="20" spans="1:9" x14ac:dyDescent="0.2">
      <c r="A20" s="14" t="s">
        <v>29</v>
      </c>
      <c r="B20" s="14" t="s">
        <v>6</v>
      </c>
      <c r="C20" s="15" t="s">
        <v>24</v>
      </c>
      <c r="D20" s="10">
        <v>17</v>
      </c>
      <c r="E20" s="10">
        <v>0</v>
      </c>
      <c r="F20" s="10">
        <v>0</v>
      </c>
      <c r="G20" s="10">
        <v>17</v>
      </c>
      <c r="H20" s="17">
        <f t="shared" si="0"/>
        <v>1</v>
      </c>
      <c r="I20" s="27"/>
    </row>
    <row r="21" spans="1:9" x14ac:dyDescent="0.2">
      <c r="A21" s="6"/>
      <c r="B21" s="6"/>
      <c r="C21" s="6"/>
      <c r="D21" s="11">
        <f>SUM(D4:D20)</f>
        <v>268</v>
      </c>
      <c r="E21" s="11">
        <f t="shared" ref="E21:G21" si="1">SUM(E4:E20)</f>
        <v>2</v>
      </c>
      <c r="F21" s="11">
        <f t="shared" si="1"/>
        <v>11</v>
      </c>
      <c r="G21" s="11">
        <f t="shared" si="1"/>
        <v>255</v>
      </c>
      <c r="H21" s="18">
        <f t="shared" si="0"/>
        <v>0.95149253731343286</v>
      </c>
      <c r="I21" s="27"/>
    </row>
  </sheetData>
  <mergeCells count="1">
    <mergeCell ref="I4:I2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Misuse Classification Results</vt:lpstr>
      <vt:lpstr>Param Resolve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B429</dc:creator>
  <cp:lastModifiedBy>Wei</cp:lastModifiedBy>
  <dcterms:created xsi:type="dcterms:W3CDTF">2015-06-05T18:19:34Z</dcterms:created>
  <dcterms:modified xsi:type="dcterms:W3CDTF">2025-04-08T14:56:53Z</dcterms:modified>
</cp:coreProperties>
</file>