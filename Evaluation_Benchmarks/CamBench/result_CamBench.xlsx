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Erio\Desktop\ExperimentResults\_ExperimentsResultsNew\CamBench\"/>
    </mc:Choice>
  </mc:AlternateContent>
  <xr:revisionPtr revIDLastSave="0" documentId="13_ncr:1_{59C125EF-89A7-4262-ABAA-E919C76746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isuse Classification Results" sheetId="1" r:id="rId1"/>
    <sheet name="Parameter Resolve Resul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5" i="1"/>
  <c r="H6" i="1"/>
  <c r="H7" i="1"/>
  <c r="H5" i="1"/>
  <c r="H4" i="2" l="1"/>
  <c r="G12" i="2"/>
  <c r="F12" i="2"/>
  <c r="E12" i="2"/>
  <c r="D12" i="2"/>
  <c r="H12" i="2" s="1"/>
  <c r="H11" i="2"/>
  <c r="H10" i="2"/>
  <c r="H9" i="2"/>
  <c r="H8" i="2"/>
  <c r="H7" i="2"/>
  <c r="H6" i="2"/>
  <c r="H5" i="2"/>
</calcChain>
</file>

<file path=xl/sharedStrings.xml><?xml version="1.0" encoding="utf-8"?>
<sst xmlns="http://schemas.openxmlformats.org/spreadsheetml/2006/main" count="58" uniqueCount="50">
  <si>
    <t>CamBench</t>
    <phoneticPr fontId="1" type="noConversion"/>
  </si>
  <si>
    <t>&lt;java.security.KeyPairGenerator: java.security.KeyPairGenerator getInstance(java.lang.String)&gt;_paramList_0</t>
    <phoneticPr fontId="1" type="noConversion"/>
  </si>
  <si>
    <t>&lt;java.security.KeyPairGenerator: void initialize(int)&gt;_paramList_0</t>
    <phoneticPr fontId="1" type="noConversion"/>
  </si>
  <si>
    <t>&lt;java.security.MessageDigest: java.security.MessageDigest getInstance(java.lang.String)&gt;_paramList_0</t>
    <phoneticPr fontId="1" type="noConversion"/>
  </si>
  <si>
    <t>&lt;java.security.SecureRandom: void setSeed(long)&gt;_paramList_0</t>
    <phoneticPr fontId="1" type="noConversion"/>
  </si>
  <si>
    <t>&lt;javax.crypto.Cipher: javax.crypto.Cipher getInstance(java.lang.String)&gt;_paramList_0</t>
    <phoneticPr fontId="1" type="noConversion"/>
  </si>
  <si>
    <t>&lt;javax.crypto.spec.IvParameterSpec: void &lt;init&gt;(byte[])&gt;_paramList_0</t>
    <phoneticPr fontId="1" type="noConversion"/>
  </si>
  <si>
    <t>&lt;javax.crypto.spec.PBEParameterSpec: void &lt;init&gt;(byte[],int)&gt;_paramList_1</t>
    <phoneticPr fontId="1" type="noConversion"/>
  </si>
  <si>
    <t>&lt;javax.crypto.spec.PBEParameterSpec: void &lt;init&gt;(byte[],int)&gt;_paramList_0</t>
    <phoneticPr fontId="1" type="noConversion"/>
  </si>
  <si>
    <t>String</t>
    <phoneticPr fontId="1" type="noConversion"/>
  </si>
  <si>
    <t>int</t>
    <phoneticPr fontId="1" type="noConversion"/>
  </si>
  <si>
    <t>long</t>
    <phoneticPr fontId="1" type="noConversion"/>
  </si>
  <si>
    <t>byte[]</t>
    <phoneticPr fontId="1" type="noConversion"/>
  </si>
  <si>
    <t>FP</t>
    <phoneticPr fontId="1" type="noConversion"/>
  </si>
  <si>
    <t>FN</t>
    <phoneticPr fontId="1" type="noConversion"/>
  </si>
  <si>
    <t>This sheet records the results of misuse classification.</t>
    <phoneticPr fontId="1" type="noConversion"/>
  </si>
  <si>
    <t>This table records the results of ParamScope on CamBench.</t>
    <phoneticPr fontId="1" type="noConversion"/>
  </si>
  <si>
    <t>ParamScope results</t>
    <phoneticPr fontId="1" type="noConversion"/>
  </si>
  <si>
    <t>Note and FP/FN analysis</t>
    <phoneticPr fontId="1" type="noConversion"/>
  </si>
  <si>
    <t>Positive cases</t>
    <phoneticPr fontId="1" type="noConversion"/>
  </si>
  <si>
    <t>Positive reports</t>
    <phoneticPr fontId="1" type="noConversion"/>
  </si>
  <si>
    <t>Precision</t>
    <phoneticPr fontId="1" type="noConversion"/>
  </si>
  <si>
    <t>Recall</t>
    <phoneticPr fontId="1" type="noConversion"/>
  </si>
  <si>
    <t>CamBench Info</t>
    <phoneticPr fontId="1" type="noConversion"/>
  </si>
  <si>
    <t>CamBench Cases</t>
    <phoneticPr fontId="1" type="noConversion"/>
  </si>
  <si>
    <t>Related cases without path sensitivity</t>
    <phoneticPr fontId="1" type="noConversion"/>
  </si>
  <si>
    <t>All cases</t>
    <phoneticPr fontId="1" type="noConversion"/>
  </si>
  <si>
    <t>221 (380 Negative)</t>
    <phoneticPr fontId="1" type="noConversion"/>
  </si>
  <si>
    <t>161 (273 Negative)</t>
    <phoneticPr fontId="1" type="noConversion"/>
  </si>
  <si>
    <t>Related cases without excessive field depth</t>
    <phoneticPr fontId="1" type="noConversion"/>
  </si>
  <si>
    <t>210 (361 Negative)</t>
    <phoneticPr fontId="1" type="noConversion"/>
  </si>
  <si>
    <t>This sheet records the results of parameter resolution</t>
    <phoneticPr fontId="1" type="noConversion"/>
  </si>
  <si>
    <t>API and Paramter Info</t>
    <phoneticPr fontId="1" type="noConversion"/>
  </si>
  <si>
    <t>Parameter Type</t>
    <phoneticPr fontId="1" type="noConversion"/>
  </si>
  <si>
    <t>Parameter Info</t>
    <phoneticPr fontId="1" type="noConversion"/>
  </si>
  <si>
    <t>Detection count</t>
    <phoneticPr fontId="1" type="noConversion"/>
  </si>
  <si>
    <t>Null results</t>
    <phoneticPr fontId="1" type="noConversion"/>
  </si>
  <si>
    <t>Incorrect solution</t>
    <phoneticPr fontId="1" type="noConversion"/>
  </si>
  <si>
    <t>Correct solution</t>
    <phoneticPr fontId="1" type="noConversion"/>
  </si>
  <si>
    <t>Accuracy</t>
    <phoneticPr fontId="1" type="noConversion"/>
  </si>
  <si>
    <t>algorithm name</t>
    <phoneticPr fontId="1" type="noConversion"/>
  </si>
  <si>
    <t>key size</t>
    <phoneticPr fontId="1" type="noConversion"/>
  </si>
  <si>
    <t>seed</t>
    <phoneticPr fontId="1" type="noConversion"/>
  </si>
  <si>
    <t>bytes of IV</t>
    <phoneticPr fontId="1" type="noConversion"/>
  </si>
  <si>
    <t>iteration count</t>
    <phoneticPr fontId="1" type="noConversion"/>
  </si>
  <si>
    <t>salt</t>
    <phoneticPr fontId="1" type="noConversion"/>
  </si>
  <si>
    <t>Note and Incorrect solution analysis</t>
    <phoneticPr fontId="1" type="noConversion"/>
  </si>
  <si>
    <t>1. We confirmed all failed value resolution (30 null results) were caused excessive field depth cases.
2. We cofirmed that all incorrect resolution (74 incorrect soution results) were caused by path-sensitive cases.</t>
    <phoneticPr fontId="1" type="noConversion"/>
  </si>
  <si>
    <t>1. We confirmed that 50 FP were caused by path-sensitive cases, 2 FP were caused by excessive field depth.
2. We confirmed that 22 FN caused by path-sensitive cases, 10 FP were caused by excessive field depth.
3. We confirmed that 1 negative case is actually positive. (org.cambench.cap.flowsensitivity.advanced.valueswap.truepositive.staticiv.CorrectedIv)</t>
    <phoneticPr fontId="1" type="noConversion"/>
  </si>
  <si>
    <t>Accuracy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</si>
</sst>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4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top"/>
    </xf>
    <xf numFmtId="0" fontId="0" fillId="2" borderId="2" xfId="0" applyFill="1" applyBorder="1" applyAlignment="1">
      <alignment horizontal="left" vertical="top"/>
    </xf>
    <xf numFmtId="176" fontId="0" fillId="3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76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176" fontId="3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0" fillId="3" borderId="4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3" borderId="6" xfId="0" applyFill="1" applyBorder="1" applyAlignment="1">
      <alignment horizontal="left" vertical="center" wrapText="1"/>
    </xf>
    <xf numFmtId="176" fontId="5" fillId="3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zoomScaleNormal="100" workbookViewId="0">
      <selection activeCell="D5" sqref="D5:I5"/>
    </sheetView>
  </sheetViews>
  <sheetFormatPr defaultRowHeight="14.25" x14ac:dyDescent="0.2"/>
  <cols>
    <col min="1" max="1" width="39.375" bestFit="1" customWidth="1"/>
    <col min="2" max="2" width="26.75" customWidth="1"/>
    <col min="3" max="3" width="21.125" bestFit="1" customWidth="1"/>
    <col min="4" max="4" width="22.125" customWidth="1"/>
    <col min="5" max="6" width="14" bestFit="1" customWidth="1"/>
    <col min="7" max="7" width="14" customWidth="1"/>
    <col min="8" max="8" width="13.125" customWidth="1"/>
    <col min="9" max="9" width="11.625" customWidth="1"/>
    <col min="10" max="10" width="86.875" customWidth="1"/>
    <col min="11" max="11" width="47.375" customWidth="1"/>
  </cols>
  <sheetData>
    <row r="1" spans="1:10" ht="43.5" x14ac:dyDescent="0.25">
      <c r="A1" s="1" t="s">
        <v>0</v>
      </c>
      <c r="B1" s="2" t="s">
        <v>16</v>
      </c>
      <c r="C1" s="2" t="s">
        <v>15</v>
      </c>
    </row>
    <row r="2" spans="1:10" ht="18" x14ac:dyDescent="0.25">
      <c r="A2" s="1"/>
      <c r="B2" s="2"/>
      <c r="C2" s="2"/>
    </row>
    <row r="3" spans="1:10" ht="18" x14ac:dyDescent="0.25">
      <c r="A3" s="23" t="s">
        <v>23</v>
      </c>
      <c r="B3" s="23"/>
      <c r="C3" s="23"/>
      <c r="D3" s="21" t="s">
        <v>17</v>
      </c>
      <c r="E3" s="22"/>
      <c r="F3" s="22"/>
      <c r="G3" s="22"/>
      <c r="H3" s="22"/>
      <c r="I3" s="22"/>
      <c r="J3" s="4" t="s">
        <v>18</v>
      </c>
    </row>
    <row r="4" spans="1:10" ht="18" x14ac:dyDescent="0.2">
      <c r="A4" s="6"/>
      <c r="B4" s="3" t="s">
        <v>24</v>
      </c>
      <c r="C4" s="3" t="s">
        <v>19</v>
      </c>
      <c r="D4" s="8" t="s">
        <v>20</v>
      </c>
      <c r="E4" s="5" t="s">
        <v>13</v>
      </c>
      <c r="F4" s="5" t="s">
        <v>14</v>
      </c>
      <c r="G4" s="20" t="s">
        <v>49</v>
      </c>
      <c r="H4" s="5" t="s">
        <v>21</v>
      </c>
      <c r="I4" s="5" t="s">
        <v>22</v>
      </c>
      <c r="J4" s="24" t="s">
        <v>48</v>
      </c>
    </row>
    <row r="5" spans="1:10" x14ac:dyDescent="0.2">
      <c r="A5" s="6" t="s">
        <v>26</v>
      </c>
      <c r="B5" s="6">
        <v>601</v>
      </c>
      <c r="C5" s="6" t="s">
        <v>27</v>
      </c>
      <c r="D5" s="18">
        <v>233</v>
      </c>
      <c r="E5" s="18">
        <v>52</v>
      </c>
      <c r="F5" s="18">
        <v>40</v>
      </c>
      <c r="G5" s="18">
        <v>0.84689999999999999</v>
      </c>
      <c r="H5" s="19">
        <f>(D5-E5)/D5</f>
        <v>0.77682403433476399</v>
      </c>
      <c r="I5" s="19">
        <f>(D5-E5)/(D5-E5+F5)</f>
        <v>0.8190045248868778</v>
      </c>
      <c r="J5" s="25"/>
    </row>
    <row r="6" spans="1:10" x14ac:dyDescent="0.2">
      <c r="A6" s="6" t="s">
        <v>25</v>
      </c>
      <c r="B6" s="6">
        <v>434</v>
      </c>
      <c r="C6" s="6" t="s">
        <v>28</v>
      </c>
      <c r="D6" s="9">
        <v>145</v>
      </c>
      <c r="E6" s="9">
        <v>2</v>
      </c>
      <c r="F6" s="9">
        <v>18</v>
      </c>
      <c r="G6" s="9">
        <v>0.95389999999999997</v>
      </c>
      <c r="H6" s="30">
        <f t="shared" ref="H6:H7" si="0">(D6-E6)/D6</f>
        <v>0.98620689655172411</v>
      </c>
      <c r="I6" s="30">
        <f t="shared" ref="I6:I7" si="1">(D6-E6)/(D6-E6+F6)</f>
        <v>0.88819875776397517</v>
      </c>
      <c r="J6" s="25"/>
    </row>
    <row r="7" spans="1:10" x14ac:dyDescent="0.2">
      <c r="A7" s="6" t="s">
        <v>29</v>
      </c>
      <c r="B7" s="7">
        <v>571</v>
      </c>
      <c r="C7" s="7" t="s">
        <v>30</v>
      </c>
      <c r="D7" s="10">
        <v>230</v>
      </c>
      <c r="E7" s="10">
        <v>50</v>
      </c>
      <c r="F7" s="10">
        <v>30</v>
      </c>
      <c r="G7" s="10">
        <v>0.8599</v>
      </c>
      <c r="H7" s="30">
        <f t="shared" si="0"/>
        <v>0.78260869565217395</v>
      </c>
      <c r="I7" s="30">
        <f t="shared" si="1"/>
        <v>0.8571428571428571</v>
      </c>
      <c r="J7" s="26"/>
    </row>
  </sheetData>
  <mergeCells count="3">
    <mergeCell ref="D3:I3"/>
    <mergeCell ref="A3:C3"/>
    <mergeCell ref="J4:J7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767E8-9A9F-4684-AFCA-83560186F4D3}">
  <dimension ref="A1:I12"/>
  <sheetViews>
    <sheetView workbookViewId="0">
      <selection activeCell="A32" sqref="A32"/>
    </sheetView>
  </sheetViews>
  <sheetFormatPr defaultRowHeight="14.25" x14ac:dyDescent="0.2"/>
  <cols>
    <col min="1" max="1" width="91.625" bestFit="1" customWidth="1"/>
    <col min="2" max="2" width="24.125" bestFit="1" customWidth="1"/>
    <col min="3" max="3" width="20.5" bestFit="1" customWidth="1"/>
    <col min="4" max="4" width="20" bestFit="1" customWidth="1"/>
    <col min="5" max="5" width="19" bestFit="1" customWidth="1"/>
    <col min="6" max="6" width="20.875" bestFit="1" customWidth="1"/>
    <col min="7" max="7" width="19.75" bestFit="1" customWidth="1"/>
    <col min="8" max="8" width="14" bestFit="1" customWidth="1"/>
    <col min="9" max="9" width="47.125" customWidth="1"/>
  </cols>
  <sheetData>
    <row r="1" spans="1:9" ht="43.5" x14ac:dyDescent="0.25">
      <c r="A1" s="1" t="s">
        <v>0</v>
      </c>
      <c r="B1" s="2" t="s">
        <v>16</v>
      </c>
      <c r="C1" s="2" t="s">
        <v>31</v>
      </c>
    </row>
    <row r="3" spans="1:9" ht="18" x14ac:dyDescent="0.2">
      <c r="A3" s="11" t="s">
        <v>32</v>
      </c>
      <c r="B3" s="11" t="s">
        <v>33</v>
      </c>
      <c r="C3" s="12" t="s">
        <v>34</v>
      </c>
      <c r="D3" s="5" t="s">
        <v>35</v>
      </c>
      <c r="E3" s="5" t="s">
        <v>36</v>
      </c>
      <c r="F3" s="5" t="s">
        <v>37</v>
      </c>
      <c r="G3" s="5" t="s">
        <v>38</v>
      </c>
      <c r="H3" s="5" t="s">
        <v>39</v>
      </c>
      <c r="I3" s="8" t="s">
        <v>46</v>
      </c>
    </row>
    <row r="4" spans="1:9" x14ac:dyDescent="0.2">
      <c r="A4" s="13" t="s">
        <v>1</v>
      </c>
      <c r="B4" s="13" t="s">
        <v>9</v>
      </c>
      <c r="C4" s="14" t="s">
        <v>40</v>
      </c>
      <c r="D4" s="10">
        <v>100</v>
      </c>
      <c r="E4" s="10">
        <v>0</v>
      </c>
      <c r="F4" s="10">
        <v>0</v>
      </c>
      <c r="G4" s="10">
        <v>100</v>
      </c>
      <c r="H4" s="15">
        <f>G4/D4</f>
        <v>1</v>
      </c>
      <c r="I4" s="27" t="s">
        <v>47</v>
      </c>
    </row>
    <row r="5" spans="1:9" x14ac:dyDescent="0.2">
      <c r="A5" s="13" t="s">
        <v>2</v>
      </c>
      <c r="B5" s="13" t="s">
        <v>10</v>
      </c>
      <c r="C5" s="14" t="s">
        <v>41</v>
      </c>
      <c r="D5" s="10">
        <v>108</v>
      </c>
      <c r="E5" s="10">
        <v>6</v>
      </c>
      <c r="F5" s="10">
        <v>14</v>
      </c>
      <c r="G5" s="10">
        <v>88</v>
      </c>
      <c r="H5" s="15">
        <f t="shared" ref="H5:H10" si="0">G5/D5</f>
        <v>0.81481481481481477</v>
      </c>
      <c r="I5" s="28"/>
    </row>
    <row r="6" spans="1:9" x14ac:dyDescent="0.2">
      <c r="A6" s="13" t="s">
        <v>3</v>
      </c>
      <c r="B6" s="13" t="s">
        <v>9</v>
      </c>
      <c r="C6" s="14" t="s">
        <v>40</v>
      </c>
      <c r="D6" s="10">
        <v>110</v>
      </c>
      <c r="E6" s="10">
        <v>6</v>
      </c>
      <c r="F6" s="10">
        <v>11</v>
      </c>
      <c r="G6" s="10">
        <v>93</v>
      </c>
      <c r="H6" s="15">
        <f t="shared" si="0"/>
        <v>0.84545454545454546</v>
      </c>
      <c r="I6" s="28"/>
    </row>
    <row r="7" spans="1:9" x14ac:dyDescent="0.2">
      <c r="A7" s="13" t="s">
        <v>4</v>
      </c>
      <c r="B7" s="13" t="s">
        <v>11</v>
      </c>
      <c r="C7" s="14" t="s">
        <v>42</v>
      </c>
      <c r="D7" s="10">
        <v>1</v>
      </c>
      <c r="E7" s="10">
        <v>0</v>
      </c>
      <c r="F7" s="10">
        <v>0</v>
      </c>
      <c r="G7" s="10">
        <v>1</v>
      </c>
      <c r="H7" s="15">
        <f t="shared" si="0"/>
        <v>1</v>
      </c>
      <c r="I7" s="28"/>
    </row>
    <row r="8" spans="1:9" x14ac:dyDescent="0.2">
      <c r="A8" s="13" t="s">
        <v>5</v>
      </c>
      <c r="B8" s="13" t="s">
        <v>9</v>
      </c>
      <c r="C8" s="14" t="s">
        <v>40</v>
      </c>
      <c r="D8" s="10">
        <v>457</v>
      </c>
      <c r="E8" s="10">
        <v>6</v>
      </c>
      <c r="F8" s="10">
        <v>24</v>
      </c>
      <c r="G8" s="10">
        <v>427</v>
      </c>
      <c r="H8" s="15">
        <f t="shared" si="0"/>
        <v>0.93435448577680524</v>
      </c>
      <c r="I8" s="28"/>
    </row>
    <row r="9" spans="1:9" x14ac:dyDescent="0.2">
      <c r="A9" s="13" t="s">
        <v>6</v>
      </c>
      <c r="B9" s="13" t="s">
        <v>12</v>
      </c>
      <c r="C9" s="14" t="s">
        <v>43</v>
      </c>
      <c r="D9" s="10">
        <v>175</v>
      </c>
      <c r="E9" s="10">
        <v>6</v>
      </c>
      <c r="F9" s="10">
        <v>21</v>
      </c>
      <c r="G9" s="10">
        <v>148</v>
      </c>
      <c r="H9" s="15">
        <f t="shared" si="0"/>
        <v>0.84571428571428575</v>
      </c>
      <c r="I9" s="28"/>
    </row>
    <row r="10" spans="1:9" x14ac:dyDescent="0.2">
      <c r="A10" s="13" t="s">
        <v>7</v>
      </c>
      <c r="B10" s="13" t="s">
        <v>10</v>
      </c>
      <c r="C10" s="14" t="s">
        <v>44</v>
      </c>
      <c r="D10" s="10">
        <v>59</v>
      </c>
      <c r="E10" s="10">
        <v>0</v>
      </c>
      <c r="F10" s="10">
        <v>1</v>
      </c>
      <c r="G10" s="10">
        <v>58</v>
      </c>
      <c r="H10" s="15">
        <f t="shared" si="0"/>
        <v>0.98305084745762716</v>
      </c>
      <c r="I10" s="28"/>
    </row>
    <row r="11" spans="1:9" x14ac:dyDescent="0.2">
      <c r="A11" s="13" t="s">
        <v>8</v>
      </c>
      <c r="B11" s="13" t="s">
        <v>12</v>
      </c>
      <c r="C11" s="14" t="s">
        <v>45</v>
      </c>
      <c r="D11" s="10">
        <v>59</v>
      </c>
      <c r="E11" s="10">
        <v>6</v>
      </c>
      <c r="F11" s="10">
        <v>3</v>
      </c>
      <c r="G11" s="10">
        <v>50</v>
      </c>
      <c r="H11" s="15">
        <f>G11/D11</f>
        <v>0.84745762711864403</v>
      </c>
      <c r="I11" s="28"/>
    </row>
    <row r="12" spans="1:9" x14ac:dyDescent="0.2">
      <c r="D12" s="16">
        <f>SUM(D4:D11)</f>
        <v>1069</v>
      </c>
      <c r="E12" s="16">
        <f>SUM(E4:E11)</f>
        <v>30</v>
      </c>
      <c r="F12" s="16">
        <f>SUM(F4:F11)</f>
        <v>74</v>
      </c>
      <c r="G12" s="16">
        <f>SUM(G4:G11)</f>
        <v>965</v>
      </c>
      <c r="H12" s="17">
        <f>G12/D12</f>
        <v>0.90271281571562212</v>
      </c>
      <c r="I12" s="29"/>
    </row>
  </sheetData>
  <mergeCells count="1">
    <mergeCell ref="I4:I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Misuse Classification Results</vt:lpstr>
      <vt:lpstr>Parameter Resolve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B429</dc:creator>
  <cp:lastModifiedBy>Wei</cp:lastModifiedBy>
  <dcterms:created xsi:type="dcterms:W3CDTF">2015-06-05T18:19:34Z</dcterms:created>
  <dcterms:modified xsi:type="dcterms:W3CDTF">2025-04-08T15:01:41Z</dcterms:modified>
</cp:coreProperties>
</file>