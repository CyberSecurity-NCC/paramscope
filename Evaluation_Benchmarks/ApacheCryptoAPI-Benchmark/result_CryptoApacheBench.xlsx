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Erio\Desktop\ExperimentResults\_ExperimentsResultsNew\ApacheCryptoAPI-Bench\"/>
    </mc:Choice>
  </mc:AlternateContent>
  <xr:revisionPtr revIDLastSave="0" documentId="13_ncr:1_{F562EF2E-1156-41A3-A18F-9A8FA413ECF7}" xr6:coauthVersionLast="36" xr6:coauthVersionMax="36" xr10:uidLastSave="{00000000-0000-0000-0000-000000000000}"/>
  <bookViews>
    <workbookView xWindow="0" yWindow="0" windowWidth="22260" windowHeight="12645" xr2:uid="{00000000-000D-0000-FFFF-FFFF00000000}"/>
  </bookViews>
  <sheets>
    <sheet name="Misuse Classification Results" sheetId="1" r:id="rId1"/>
    <sheet name="Param Resolve Result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 i="1" l="1"/>
  <c r="I15" i="1"/>
  <c r="H6" i="1"/>
  <c r="H7" i="1"/>
  <c r="H8" i="1"/>
  <c r="H9" i="1"/>
  <c r="H10" i="1"/>
  <c r="H11" i="1"/>
  <c r="H13" i="1"/>
  <c r="H14" i="1"/>
  <c r="H5" i="1"/>
  <c r="I6" i="1"/>
  <c r="I7" i="1"/>
  <c r="I8" i="1"/>
  <c r="I9" i="1"/>
  <c r="I10" i="1"/>
  <c r="I11" i="1"/>
  <c r="I13" i="1"/>
  <c r="I14" i="1"/>
  <c r="I5" i="1"/>
  <c r="E14" i="2" l="1"/>
  <c r="D14" i="2"/>
  <c r="C14" i="2"/>
  <c r="B14" i="2"/>
  <c r="F13" i="2"/>
  <c r="F12" i="2"/>
  <c r="F11" i="2"/>
  <c r="F10" i="2"/>
  <c r="F9" i="2"/>
  <c r="F8" i="2"/>
  <c r="F7" i="2"/>
  <c r="F6" i="2"/>
  <c r="F5" i="2"/>
  <c r="F4" i="2"/>
  <c r="F14" i="2" l="1"/>
</calcChain>
</file>

<file path=xl/sharedStrings.xml><?xml version="1.0" encoding="utf-8"?>
<sst xmlns="http://schemas.openxmlformats.org/spreadsheetml/2006/main" count="63" uniqueCount="54">
  <si>
    <t>activemq-artemis</t>
    <phoneticPr fontId="1" type="noConversion"/>
  </si>
  <si>
    <t>deltaspike</t>
    <phoneticPr fontId="1" type="noConversion"/>
  </si>
  <si>
    <t>incubator-taverna-workbench</t>
    <phoneticPr fontId="1" type="noConversion"/>
  </si>
  <si>
    <t>meecrowave</t>
    <phoneticPr fontId="1" type="noConversion"/>
  </si>
  <si>
    <t>manifoldcf</t>
    <phoneticPr fontId="1" type="noConversion"/>
  </si>
  <si>
    <t>spark</t>
    <phoneticPr fontId="1" type="noConversion"/>
  </si>
  <si>
    <t>tomee</t>
    <phoneticPr fontId="1" type="noConversion"/>
  </si>
  <si>
    <t>wicket</t>
    <phoneticPr fontId="1" type="noConversion"/>
  </si>
  <si>
    <t>tika</t>
    <phoneticPr fontId="1" type="noConversion"/>
  </si>
  <si>
    <t>FP</t>
    <phoneticPr fontId="1" type="noConversion"/>
  </si>
  <si>
    <t>FN</t>
    <phoneticPr fontId="1" type="noConversion"/>
  </si>
  <si>
    <t>directoryserver</t>
    <phoneticPr fontId="1" type="noConversion"/>
  </si>
  <si>
    <t>This sheet records the results of misuse classification.</t>
    <phoneticPr fontId="1" type="noConversion"/>
  </si>
  <si>
    <t>ParamScope results</t>
    <phoneticPr fontId="1" type="noConversion"/>
  </si>
  <si>
    <t>Positive cases</t>
    <phoneticPr fontId="1" type="noConversion"/>
  </si>
  <si>
    <t>Positive reports</t>
    <phoneticPr fontId="1" type="noConversion"/>
  </si>
  <si>
    <t>Precision</t>
    <phoneticPr fontId="1" type="noConversion"/>
  </si>
  <si>
    <t>Recall</t>
    <phoneticPr fontId="1" type="noConversion"/>
  </si>
  <si>
    <t>ApacheCryptoAPI-Bench</t>
    <phoneticPr fontId="1" type="noConversion"/>
  </si>
  <si>
    <t>This table records the results of ParamScope on ApacheCryptoAPI-Bench.</t>
    <phoneticPr fontId="1" type="noConversion"/>
  </si>
  <si>
    <t>ApacheCryptoAPI-Bench Info</t>
    <phoneticPr fontId="1" type="noConversion"/>
  </si>
  <si>
    <t>ApacheCryptoAPI-Bench Cases</t>
    <phoneticPr fontId="1" type="noConversion"/>
  </si>
  <si>
    <t>Related Cases</t>
    <phoneticPr fontId="1" type="noConversion"/>
  </si>
  <si>
    <t>All Cases</t>
    <phoneticPr fontId="1" type="noConversion"/>
  </si>
  <si>
    <t>activemq-artemis cases</t>
    <phoneticPr fontId="1" type="noConversion"/>
  </si>
  <si>
    <t>deltaspike cases</t>
    <phoneticPr fontId="1" type="noConversion"/>
  </si>
  <si>
    <t>directoryserver cases</t>
    <phoneticPr fontId="1" type="noConversion"/>
  </si>
  <si>
    <t>incubator-taverna-workbench cases</t>
    <phoneticPr fontId="1" type="noConversion"/>
  </si>
  <si>
    <t>manifoldcf cases</t>
    <phoneticPr fontId="1" type="noConversion"/>
  </si>
  <si>
    <t>meecrowave cases</t>
    <phoneticPr fontId="1" type="noConversion"/>
  </si>
  <si>
    <t>spark cases</t>
    <phoneticPr fontId="1" type="noConversion"/>
  </si>
  <si>
    <t>tika cases</t>
    <phoneticPr fontId="1" type="noConversion"/>
  </si>
  <si>
    <t>tomee cases</t>
    <phoneticPr fontId="1" type="noConversion"/>
  </si>
  <si>
    <t>wicket cases</t>
    <phoneticPr fontId="1" type="noConversion"/>
  </si>
  <si>
    <t>\</t>
    <phoneticPr fontId="1" type="noConversion"/>
  </si>
  <si>
    <t>19 (10 Negative)</t>
    <phoneticPr fontId="1" type="noConversion"/>
  </si>
  <si>
    <t>2 (4 Negative)</t>
    <phoneticPr fontId="1" type="noConversion"/>
  </si>
  <si>
    <t>4 (2 Negative)</t>
    <phoneticPr fontId="1" type="noConversion"/>
  </si>
  <si>
    <t>51 (16 Negative)</t>
    <phoneticPr fontId="1" type="noConversion"/>
  </si>
  <si>
    <t>Note and FP/FN analysis</t>
    <phoneticPr fontId="1" type="noConversion"/>
  </si>
  <si>
    <t>67 (54 not relative cases)</t>
    <phoneticPr fontId="1" type="noConversion"/>
  </si>
  <si>
    <t>This sheet records the results of parameter resolution</t>
    <phoneticPr fontId="1" type="noConversion"/>
  </si>
  <si>
    <t>Null results</t>
    <phoneticPr fontId="1" type="noConversion"/>
  </si>
  <si>
    <t>Incorrect solution</t>
    <phoneticPr fontId="1" type="noConversion"/>
  </si>
  <si>
    <t>Correct solution</t>
    <phoneticPr fontId="1" type="noConversion"/>
  </si>
  <si>
    <t>Accuracy</t>
    <phoneticPr fontId="1" type="noConversion"/>
  </si>
  <si>
    <t>Apache-project</t>
    <phoneticPr fontId="1" type="noConversion"/>
  </si>
  <si>
    <t>Note and Incorrect solution analysis</t>
    <phoneticPr fontId="1" type="noConversion"/>
  </si>
  <si>
    <t>1. Note that "Null results" do not necessarily indicate an incorrect solution. For example, In ParamScope's analysis, if a parameter originates from a caller’s argument, but the caller itself lacks a higher-level caller, then the null result is expected and correct. We also confirmed that most of the null results were caused by the absence of actual callers.
2. We confirmed the reasons for the incorrect parsed results and null results: due to dependencies on external environment variables, inability to analyze the method's internal logic and assignments influenced by control flow (array assignments within loops).</t>
    <phoneticPr fontId="1" type="noConversion"/>
  </si>
  <si>
    <t>API Detection count</t>
    <phoneticPr fontId="1" type="noConversion"/>
  </si>
  <si>
    <t>Accuracy</t>
    <phoneticPr fontId="1" type="noConversion"/>
  </si>
  <si>
    <t>\</t>
    <phoneticPr fontId="1" type="noConversion"/>
  </si>
  <si>
    <t>\</t>
    <phoneticPr fontId="1" type="noConversion"/>
  </si>
  <si>
    <r>
      <t xml:space="preserve">1. ParamScope does not directly detect the use of PRNGs; instead, assessing the security of PRNGs only when related to cryptographic parameters, implementing a "cryptographic context-aware" analysis. Therefore, some PRNG use cases are not relevant to this assessment.
2. We consider some redundant cases as irrelevant.
3. We confirmed that the 1 FP is caused by the case depending on external environment variables (System.getProperty("user.home")).
4. We confirmed that 2 FP were caused by ParamScope focusing on analysis of the method's callers (for method reflection execution), leading to inability to analyze the method's internal logic.
5. We report </t>
    </r>
    <r>
      <rPr>
        <b/>
        <sz val="11"/>
        <color theme="1"/>
        <rFont val="等线"/>
        <family val="3"/>
        <charset val="134"/>
        <scheme val="minor"/>
      </rPr>
      <t>two additional cases</t>
    </r>
    <r>
      <rPr>
        <sz val="11"/>
        <color theme="1"/>
        <rFont val="等线"/>
        <family val="2"/>
        <scheme val="minor"/>
      </rPr>
      <t>, not in the benchmark, that uses "PBKDF2WithHmacSHA1".</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</si>
</sst>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4" x14ac:knownFonts="1">
    <font>
      <sz val="11"/>
      <color theme="1"/>
      <name val="等线"/>
      <family val="2"/>
      <scheme val="minor"/>
    </font>
    <font>
      <sz val="9"/>
      <name val="等线"/>
      <family val="3"/>
      <charset val="134"/>
      <scheme val="minor"/>
    </font>
    <font>
      <b/>
      <sz val="14"/>
      <color theme="1"/>
      <name val="等线"/>
      <family val="3"/>
      <charset val="134"/>
      <scheme val="minor"/>
    </font>
    <font>
      <b/>
      <sz val="11"/>
      <color theme="1"/>
      <name val="等线"/>
      <family val="3"/>
      <charset val="134"/>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0" xfId="0" applyAlignment="1">
      <alignment horizontal="center" vertical="center"/>
    </xf>
    <xf numFmtId="0" fontId="2" fillId="0" borderId="0" xfId="0" applyFont="1" applyAlignment="1">
      <alignment wrapText="1"/>
    </xf>
    <xf numFmtId="0" fontId="3" fillId="0" borderId="0" xfId="0" applyFont="1" applyAlignment="1">
      <alignment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3" borderId="1" xfId="0" applyFill="1" applyBorder="1" applyAlignment="1">
      <alignment horizontal="center"/>
    </xf>
    <xf numFmtId="176" fontId="0" fillId="3" borderId="1" xfId="0" applyNumberFormat="1" applyFill="1" applyBorder="1" applyAlignment="1">
      <alignment horizontal="center"/>
    </xf>
    <xf numFmtId="0" fontId="0" fillId="3" borderId="1" xfId="0" applyFill="1" applyBorder="1" applyAlignment="1">
      <alignment horizontal="center" vertical="center"/>
    </xf>
    <xf numFmtId="0" fontId="3" fillId="3" borderId="1" xfId="0" applyFont="1" applyFill="1" applyBorder="1" applyAlignment="1">
      <alignment horizontal="center"/>
    </xf>
    <xf numFmtId="0" fontId="3" fillId="3" borderId="1" xfId="0" applyFont="1" applyFill="1" applyBorder="1" applyAlignment="1">
      <alignment horizontal="center" vertical="center"/>
    </xf>
    <xf numFmtId="176" fontId="3" fillId="3" borderId="1" xfId="0" applyNumberFormat="1" applyFont="1" applyFill="1" applyBorder="1" applyAlignment="1">
      <alignment horizontal="center"/>
    </xf>
    <xf numFmtId="0" fontId="0" fillId="2" borderId="4" xfId="0" applyFill="1" applyBorder="1" applyAlignment="1">
      <alignment horizontal="center" vertical="center"/>
    </xf>
    <xf numFmtId="0" fontId="2" fillId="2" borderId="4" xfId="0" applyFont="1" applyFill="1" applyBorder="1" applyAlignment="1">
      <alignment horizontal="center" vertical="center"/>
    </xf>
    <xf numFmtId="176" fontId="0" fillId="3" borderId="1" xfId="0" applyNumberFormat="1" applyFill="1" applyBorder="1" applyAlignment="1">
      <alignment horizontal="center" vertical="center"/>
    </xf>
    <xf numFmtId="176" fontId="3"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0" fillId="3" borderId="1" xfId="0" applyFill="1" applyBorder="1" applyAlignment="1">
      <alignment horizontal="lef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3" borderId="7" xfId="0"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G15" sqref="G15"/>
    </sheetView>
  </sheetViews>
  <sheetFormatPr defaultRowHeight="14.25" x14ac:dyDescent="0.2"/>
  <cols>
    <col min="1" max="1" width="34" bestFit="1" customWidth="1"/>
    <col min="2" max="2" width="37.875" bestFit="1" customWidth="1"/>
    <col min="3" max="3" width="21.125" bestFit="1" customWidth="1"/>
    <col min="4" max="4" width="22.125" customWidth="1"/>
    <col min="5" max="6" width="14" bestFit="1" customWidth="1"/>
    <col min="7" max="7" width="14" customWidth="1"/>
    <col min="8" max="8" width="13.125" customWidth="1"/>
    <col min="9" max="9" width="11.625" customWidth="1"/>
    <col min="10" max="10" width="60.875" customWidth="1"/>
  </cols>
  <sheetData>
    <row r="1" spans="1:10" ht="43.5" x14ac:dyDescent="0.25">
      <c r="A1" s="2" t="s">
        <v>18</v>
      </c>
      <c r="B1" s="3" t="s">
        <v>19</v>
      </c>
      <c r="C1" s="3" t="s">
        <v>12</v>
      </c>
    </row>
    <row r="2" spans="1:10" ht="18" x14ac:dyDescent="0.25">
      <c r="A2" s="2"/>
      <c r="B2" s="3"/>
      <c r="C2" s="3"/>
    </row>
    <row r="3" spans="1:10" ht="18" x14ac:dyDescent="0.25">
      <c r="A3" s="20" t="s">
        <v>20</v>
      </c>
      <c r="B3" s="21"/>
      <c r="C3" s="22"/>
      <c r="D3" s="19" t="s">
        <v>13</v>
      </c>
      <c r="E3" s="19"/>
      <c r="F3" s="19"/>
      <c r="G3" s="19"/>
      <c r="H3" s="19"/>
      <c r="I3" s="19"/>
      <c r="J3" s="7" t="s">
        <v>39</v>
      </c>
    </row>
    <row r="4" spans="1:10" ht="18" customHeight="1" x14ac:dyDescent="0.2">
      <c r="A4" s="5"/>
      <c r="B4" s="4" t="s">
        <v>21</v>
      </c>
      <c r="C4" s="4" t="s">
        <v>14</v>
      </c>
      <c r="D4" s="6" t="s">
        <v>15</v>
      </c>
      <c r="E4" s="6" t="s">
        <v>9</v>
      </c>
      <c r="F4" s="6" t="s">
        <v>10</v>
      </c>
      <c r="G4" s="18" t="s">
        <v>50</v>
      </c>
      <c r="H4" s="6" t="s">
        <v>16</v>
      </c>
      <c r="I4" s="6" t="s">
        <v>17</v>
      </c>
      <c r="J4" s="23" t="s">
        <v>53</v>
      </c>
    </row>
    <row r="5" spans="1:10" x14ac:dyDescent="0.2">
      <c r="A5" s="5" t="s">
        <v>24</v>
      </c>
      <c r="B5" s="5">
        <v>7</v>
      </c>
      <c r="C5" s="5">
        <v>7</v>
      </c>
      <c r="D5" s="8">
        <v>7</v>
      </c>
      <c r="E5" s="10">
        <v>0</v>
      </c>
      <c r="F5" s="10">
        <v>1</v>
      </c>
      <c r="G5" s="16">
        <v>0.875</v>
      </c>
      <c r="H5" s="9">
        <f>(D5-E5)/D5</f>
        <v>1</v>
      </c>
      <c r="I5" s="9">
        <f>(D5-E5)/(D5-E5+F5)</f>
        <v>0.875</v>
      </c>
      <c r="J5" s="23"/>
    </row>
    <row r="6" spans="1:10" x14ac:dyDescent="0.2">
      <c r="A6" s="5" t="s">
        <v>25</v>
      </c>
      <c r="B6" s="5">
        <v>6</v>
      </c>
      <c r="C6" s="5" t="s">
        <v>36</v>
      </c>
      <c r="D6" s="8">
        <v>2</v>
      </c>
      <c r="E6" s="8">
        <v>0</v>
      </c>
      <c r="F6" s="10">
        <v>0</v>
      </c>
      <c r="G6" s="16">
        <v>1</v>
      </c>
      <c r="H6" s="9">
        <f t="shared" ref="H6:H15" si="0">(D6-E6)/D6</f>
        <v>1</v>
      </c>
      <c r="I6" s="9">
        <f t="shared" ref="I6:I15" si="1">(D6-E6)/(D6-E6+F6)</f>
        <v>1</v>
      </c>
      <c r="J6" s="23"/>
    </row>
    <row r="7" spans="1:10" x14ac:dyDescent="0.2">
      <c r="A7" s="5" t="s">
        <v>26</v>
      </c>
      <c r="B7" s="5">
        <v>29</v>
      </c>
      <c r="C7" s="5" t="s">
        <v>35</v>
      </c>
      <c r="D7" s="8">
        <v>19</v>
      </c>
      <c r="E7" s="8">
        <v>0</v>
      </c>
      <c r="F7" s="10">
        <v>0</v>
      </c>
      <c r="G7" s="16">
        <v>1</v>
      </c>
      <c r="H7" s="9">
        <f t="shared" si="0"/>
        <v>1</v>
      </c>
      <c r="I7" s="9">
        <f t="shared" si="1"/>
        <v>1</v>
      </c>
      <c r="J7" s="23"/>
    </row>
    <row r="8" spans="1:10" x14ac:dyDescent="0.2">
      <c r="A8" s="5" t="s">
        <v>27</v>
      </c>
      <c r="B8" s="5">
        <v>5</v>
      </c>
      <c r="C8" s="5">
        <v>5</v>
      </c>
      <c r="D8" s="8">
        <v>5</v>
      </c>
      <c r="E8" s="10">
        <v>0</v>
      </c>
      <c r="F8" s="10">
        <v>0</v>
      </c>
      <c r="G8" s="16">
        <v>1</v>
      </c>
      <c r="H8" s="9">
        <f t="shared" si="0"/>
        <v>1</v>
      </c>
      <c r="I8" s="9">
        <f t="shared" si="1"/>
        <v>1</v>
      </c>
      <c r="J8" s="23"/>
    </row>
    <row r="9" spans="1:10" x14ac:dyDescent="0.2">
      <c r="A9" s="5" t="s">
        <v>28</v>
      </c>
      <c r="B9" s="5">
        <v>4</v>
      </c>
      <c r="C9" s="5">
        <v>4</v>
      </c>
      <c r="D9" s="8">
        <v>5</v>
      </c>
      <c r="E9" s="10">
        <v>1</v>
      </c>
      <c r="F9" s="10">
        <v>0</v>
      </c>
      <c r="G9" s="16">
        <v>0.8</v>
      </c>
      <c r="H9" s="9">
        <f t="shared" si="0"/>
        <v>0.8</v>
      </c>
      <c r="I9" s="9">
        <f t="shared" si="1"/>
        <v>1</v>
      </c>
      <c r="J9" s="23"/>
    </row>
    <row r="10" spans="1:10" x14ac:dyDescent="0.2">
      <c r="A10" s="5" t="s">
        <v>29</v>
      </c>
      <c r="B10" s="5">
        <v>3</v>
      </c>
      <c r="C10" s="5">
        <v>3</v>
      </c>
      <c r="D10" s="8">
        <v>3</v>
      </c>
      <c r="E10" s="10">
        <v>0</v>
      </c>
      <c r="F10" s="10">
        <v>0</v>
      </c>
      <c r="G10" s="16">
        <v>1</v>
      </c>
      <c r="H10" s="9">
        <f t="shared" si="0"/>
        <v>1</v>
      </c>
      <c r="I10" s="9">
        <f t="shared" si="1"/>
        <v>1</v>
      </c>
      <c r="J10" s="23"/>
    </row>
    <row r="11" spans="1:10" x14ac:dyDescent="0.2">
      <c r="A11" s="5" t="s">
        <v>30</v>
      </c>
      <c r="B11" s="5">
        <v>6</v>
      </c>
      <c r="C11" s="5" t="s">
        <v>37</v>
      </c>
      <c r="D11" s="8">
        <v>4</v>
      </c>
      <c r="E11" s="10">
        <v>0</v>
      </c>
      <c r="F11" s="10">
        <v>0</v>
      </c>
      <c r="G11" s="16">
        <v>1</v>
      </c>
      <c r="H11" s="9">
        <f t="shared" si="0"/>
        <v>1</v>
      </c>
      <c r="I11" s="9">
        <f t="shared" si="1"/>
        <v>1</v>
      </c>
      <c r="J11" s="23"/>
    </row>
    <row r="12" spans="1:10" x14ac:dyDescent="0.2">
      <c r="A12" s="5" t="s">
        <v>31</v>
      </c>
      <c r="B12" s="5">
        <v>0</v>
      </c>
      <c r="C12" s="5">
        <v>0</v>
      </c>
      <c r="D12" s="8">
        <v>0</v>
      </c>
      <c r="E12" s="10">
        <v>0</v>
      </c>
      <c r="F12" s="10">
        <v>0</v>
      </c>
      <c r="G12" s="16" t="s">
        <v>51</v>
      </c>
      <c r="H12" s="9" t="s">
        <v>52</v>
      </c>
      <c r="I12" s="9" t="s">
        <v>52</v>
      </c>
      <c r="J12" s="23"/>
    </row>
    <row r="13" spans="1:10" x14ac:dyDescent="0.2">
      <c r="A13" s="5" t="s">
        <v>32</v>
      </c>
      <c r="B13" s="5">
        <v>4</v>
      </c>
      <c r="C13" s="5">
        <v>4</v>
      </c>
      <c r="D13" s="8">
        <v>4</v>
      </c>
      <c r="E13" s="10">
        <v>0</v>
      </c>
      <c r="F13" s="10">
        <v>0</v>
      </c>
      <c r="G13" s="16">
        <v>1</v>
      </c>
      <c r="H13" s="9">
        <f t="shared" si="0"/>
        <v>1</v>
      </c>
      <c r="I13" s="9">
        <f t="shared" si="1"/>
        <v>1</v>
      </c>
      <c r="J13" s="23"/>
    </row>
    <row r="14" spans="1:10" x14ac:dyDescent="0.2">
      <c r="A14" s="5" t="s">
        <v>33</v>
      </c>
      <c r="B14" s="5">
        <v>3</v>
      </c>
      <c r="C14" s="5">
        <v>3</v>
      </c>
      <c r="D14" s="8">
        <v>2</v>
      </c>
      <c r="E14" s="10">
        <v>0</v>
      </c>
      <c r="F14" s="10">
        <v>1</v>
      </c>
      <c r="G14" s="16">
        <v>0.66669999999999996</v>
      </c>
      <c r="H14" s="9">
        <f t="shared" si="0"/>
        <v>1</v>
      </c>
      <c r="I14" s="9">
        <f t="shared" si="1"/>
        <v>0.66666666666666663</v>
      </c>
      <c r="J14" s="23"/>
    </row>
    <row r="15" spans="1:10" x14ac:dyDescent="0.2">
      <c r="A15" s="5" t="s">
        <v>22</v>
      </c>
      <c r="B15" s="5" t="s">
        <v>40</v>
      </c>
      <c r="C15" s="5" t="s">
        <v>38</v>
      </c>
      <c r="D15" s="11">
        <v>52</v>
      </c>
      <c r="E15" s="11">
        <v>1</v>
      </c>
      <c r="F15" s="12">
        <v>2</v>
      </c>
      <c r="G15" s="17">
        <v>0.95650000000000002</v>
      </c>
      <c r="H15" s="13">
        <f>(D15-E15)/D15</f>
        <v>0.98076923076923073</v>
      </c>
      <c r="I15" s="13">
        <f>(D15-E15)/(D15-E15+F15)</f>
        <v>0.96226415094339623</v>
      </c>
      <c r="J15" s="23"/>
    </row>
    <row r="16" spans="1:10" x14ac:dyDescent="0.2">
      <c r="A16" s="5" t="s">
        <v>23</v>
      </c>
      <c r="B16" s="5">
        <v>121</v>
      </c>
      <c r="C16" s="5" t="s">
        <v>34</v>
      </c>
      <c r="D16" s="8" t="s">
        <v>34</v>
      </c>
      <c r="E16" s="8" t="s">
        <v>34</v>
      </c>
      <c r="F16" s="8" t="s">
        <v>34</v>
      </c>
      <c r="G16" s="8" t="s">
        <v>51</v>
      </c>
      <c r="H16" s="9" t="s">
        <v>34</v>
      </c>
      <c r="I16" s="9" t="s">
        <v>34</v>
      </c>
      <c r="J16" s="23"/>
    </row>
  </sheetData>
  <mergeCells count="3">
    <mergeCell ref="D3:I3"/>
    <mergeCell ref="A3:C3"/>
    <mergeCell ref="J4:J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198D-9F84-41C4-AFC6-A3F44E4748E3}">
  <dimension ref="A1:G14"/>
  <sheetViews>
    <sheetView zoomScaleNormal="100" workbookViewId="0">
      <selection activeCell="F4" sqref="F4"/>
    </sheetView>
  </sheetViews>
  <sheetFormatPr defaultRowHeight="14.25" x14ac:dyDescent="0.2"/>
  <cols>
    <col min="1" max="1" width="38.375" customWidth="1"/>
    <col min="2" max="2" width="24.75" bestFit="1" customWidth="1"/>
    <col min="3" max="3" width="19" bestFit="1" customWidth="1"/>
    <col min="4" max="4" width="20.875" bestFit="1" customWidth="1"/>
    <col min="5" max="5" width="19.75" bestFit="1" customWidth="1"/>
    <col min="6" max="6" width="14" bestFit="1" customWidth="1"/>
    <col min="7" max="7" width="63.75" customWidth="1"/>
    <col min="8" max="8" width="61.75" customWidth="1"/>
    <col min="9" max="9" width="18.375" customWidth="1"/>
  </cols>
  <sheetData>
    <row r="1" spans="1:7" ht="43.5" x14ac:dyDescent="0.25">
      <c r="A1" s="2" t="s">
        <v>18</v>
      </c>
      <c r="B1" s="3" t="s">
        <v>19</v>
      </c>
      <c r="C1" s="3" t="s">
        <v>41</v>
      </c>
    </row>
    <row r="3" spans="1:7" ht="18" x14ac:dyDescent="0.2">
      <c r="A3" s="15" t="s">
        <v>46</v>
      </c>
      <c r="B3" s="6" t="s">
        <v>49</v>
      </c>
      <c r="C3" s="6" t="s">
        <v>42</v>
      </c>
      <c r="D3" s="6" t="s">
        <v>43</v>
      </c>
      <c r="E3" s="6" t="s">
        <v>44</v>
      </c>
      <c r="F3" s="6" t="s">
        <v>45</v>
      </c>
      <c r="G3" s="6" t="s">
        <v>47</v>
      </c>
    </row>
    <row r="4" spans="1:7" x14ac:dyDescent="0.2">
      <c r="A4" s="14" t="s">
        <v>0</v>
      </c>
      <c r="B4" s="10">
        <v>13</v>
      </c>
      <c r="C4" s="10">
        <v>5</v>
      </c>
      <c r="D4" s="10">
        <v>0</v>
      </c>
      <c r="E4" s="10">
        <v>13</v>
      </c>
      <c r="F4" s="16">
        <f>E4/B4</f>
        <v>1</v>
      </c>
      <c r="G4" s="24" t="s">
        <v>48</v>
      </c>
    </row>
    <row r="5" spans="1:7" x14ac:dyDescent="0.2">
      <c r="A5" s="14" t="s">
        <v>1</v>
      </c>
      <c r="B5" s="10">
        <v>5</v>
      </c>
      <c r="C5" s="10">
        <v>1</v>
      </c>
      <c r="D5" s="10">
        <v>0</v>
      </c>
      <c r="E5" s="10">
        <v>5</v>
      </c>
      <c r="F5" s="16">
        <f t="shared" ref="F5:F14" si="0">E5/B5</f>
        <v>1</v>
      </c>
      <c r="G5" s="25"/>
    </row>
    <row r="6" spans="1:7" x14ac:dyDescent="0.2">
      <c r="A6" s="14" t="s">
        <v>11</v>
      </c>
      <c r="B6" s="10">
        <v>35</v>
      </c>
      <c r="C6" s="10">
        <v>12</v>
      </c>
      <c r="D6" s="10">
        <v>0</v>
      </c>
      <c r="E6" s="10">
        <v>35</v>
      </c>
      <c r="F6" s="16">
        <f t="shared" si="0"/>
        <v>1</v>
      </c>
      <c r="G6" s="25"/>
    </row>
    <row r="7" spans="1:7" x14ac:dyDescent="0.2">
      <c r="A7" s="14" t="s">
        <v>2</v>
      </c>
      <c r="B7" s="10">
        <v>6</v>
      </c>
      <c r="C7" s="10">
        <v>1</v>
      </c>
      <c r="D7" s="10">
        <v>1</v>
      </c>
      <c r="E7" s="10">
        <v>5</v>
      </c>
      <c r="F7" s="16">
        <f t="shared" si="0"/>
        <v>0.83333333333333337</v>
      </c>
      <c r="G7" s="25"/>
    </row>
    <row r="8" spans="1:7" x14ac:dyDescent="0.2">
      <c r="A8" s="14" t="s">
        <v>4</v>
      </c>
      <c r="B8" s="10">
        <v>9</v>
      </c>
      <c r="C8" s="10">
        <v>4</v>
      </c>
      <c r="D8" s="10">
        <v>1</v>
      </c>
      <c r="E8" s="10">
        <v>8</v>
      </c>
      <c r="F8" s="16">
        <f t="shared" si="0"/>
        <v>0.88888888888888884</v>
      </c>
      <c r="G8" s="25"/>
    </row>
    <row r="9" spans="1:7" x14ac:dyDescent="0.2">
      <c r="A9" s="14" t="s">
        <v>3</v>
      </c>
      <c r="B9" s="10">
        <v>3</v>
      </c>
      <c r="C9" s="10">
        <v>0</v>
      </c>
      <c r="D9" s="10">
        <v>0</v>
      </c>
      <c r="E9" s="10">
        <v>3</v>
      </c>
      <c r="F9" s="16">
        <f t="shared" si="0"/>
        <v>1</v>
      </c>
      <c r="G9" s="25"/>
    </row>
    <row r="10" spans="1:7" x14ac:dyDescent="0.2">
      <c r="A10" s="14" t="s">
        <v>5</v>
      </c>
      <c r="B10" s="10">
        <v>13</v>
      </c>
      <c r="C10" s="10">
        <v>9</v>
      </c>
      <c r="D10" s="10">
        <v>0</v>
      </c>
      <c r="E10" s="10">
        <v>13</v>
      </c>
      <c r="F10" s="16">
        <f t="shared" si="0"/>
        <v>1</v>
      </c>
      <c r="G10" s="25"/>
    </row>
    <row r="11" spans="1:7" x14ac:dyDescent="0.2">
      <c r="A11" s="14" t="s">
        <v>8</v>
      </c>
      <c r="B11" s="10">
        <v>4</v>
      </c>
      <c r="C11" s="10">
        <v>4</v>
      </c>
      <c r="D11" s="10">
        <v>0</v>
      </c>
      <c r="E11" s="10">
        <v>4</v>
      </c>
      <c r="F11" s="16">
        <f t="shared" si="0"/>
        <v>1</v>
      </c>
      <c r="G11" s="25"/>
    </row>
    <row r="12" spans="1:7" x14ac:dyDescent="0.2">
      <c r="A12" s="14" t="s">
        <v>6</v>
      </c>
      <c r="B12" s="10">
        <v>6</v>
      </c>
      <c r="C12" s="10">
        <v>2</v>
      </c>
      <c r="D12" s="10">
        <v>0</v>
      </c>
      <c r="E12" s="10">
        <v>6</v>
      </c>
      <c r="F12" s="16">
        <f t="shared" si="0"/>
        <v>1</v>
      </c>
      <c r="G12" s="25"/>
    </row>
    <row r="13" spans="1:7" x14ac:dyDescent="0.2">
      <c r="A13" s="14" t="s">
        <v>7</v>
      </c>
      <c r="B13" s="10">
        <v>5</v>
      </c>
      <c r="C13" s="10">
        <v>3</v>
      </c>
      <c r="D13" s="10">
        <v>1</v>
      </c>
      <c r="E13" s="10">
        <v>4</v>
      </c>
      <c r="F13" s="16">
        <f t="shared" si="0"/>
        <v>0.8</v>
      </c>
      <c r="G13" s="25"/>
    </row>
    <row r="14" spans="1:7" x14ac:dyDescent="0.2">
      <c r="A14" s="1"/>
      <c r="B14" s="12">
        <f>SUM(B4:B13)</f>
        <v>99</v>
      </c>
      <c r="C14" s="12">
        <f t="shared" ref="C14:E14" si="1">SUM(C4:C13)</f>
        <v>41</v>
      </c>
      <c r="D14" s="12">
        <f t="shared" si="1"/>
        <v>3</v>
      </c>
      <c r="E14" s="12">
        <f t="shared" si="1"/>
        <v>96</v>
      </c>
      <c r="F14" s="17">
        <f t="shared" si="0"/>
        <v>0.96969696969696972</v>
      </c>
      <c r="G14" s="26"/>
    </row>
  </sheetData>
  <mergeCells count="1">
    <mergeCell ref="G4:G1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Misuse Classification Results</vt:lpstr>
      <vt:lpstr>Param Resolve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B429</dc:creator>
  <cp:lastModifiedBy>Wei</cp:lastModifiedBy>
  <dcterms:created xsi:type="dcterms:W3CDTF">2015-06-05T18:19:34Z</dcterms:created>
  <dcterms:modified xsi:type="dcterms:W3CDTF">2025-04-08T15:17:17Z</dcterms:modified>
</cp:coreProperties>
</file>