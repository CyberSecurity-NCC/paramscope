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rio\Desktop\ExperimentResults\_ExperimentsResultsNew\MASC\"/>
    </mc:Choice>
  </mc:AlternateContent>
  <xr:revisionPtr revIDLastSave="0" documentId="13_ncr:1_{EC1B17DF-67E1-4F2D-9F33-9912A4E2B50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isuse Classification Results" sheetId="1" r:id="rId1"/>
    <sheet name="Parameter Resolve Resul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F10" i="2"/>
  <c r="E10" i="2"/>
  <c r="D10" i="2"/>
  <c r="H9" i="2"/>
  <c r="H8" i="2"/>
  <c r="H7" i="2"/>
  <c r="H6" i="2"/>
  <c r="H5" i="2"/>
  <c r="H4" i="2"/>
  <c r="H10" i="2" l="1"/>
</calcChain>
</file>

<file path=xl/sharedStrings.xml><?xml version="1.0" encoding="utf-8"?>
<sst xmlns="http://schemas.openxmlformats.org/spreadsheetml/2006/main" count="53" uniqueCount="44">
  <si>
    <t>algorithm name</t>
    <phoneticPr fontId="1" type="noConversion"/>
  </si>
  <si>
    <t>PRNG seed</t>
    <phoneticPr fontId="1" type="noConversion"/>
  </si>
  <si>
    <t>&lt;java.security.MessageDigest: java.security.MessageDigest getInstance(java.lang.String)&gt;_paramList_0</t>
    <phoneticPr fontId="1" type="noConversion"/>
  </si>
  <si>
    <t>String</t>
    <phoneticPr fontId="1" type="noConversion"/>
  </si>
  <si>
    <t>&lt;java.security.SecureRandom: void &lt;init&gt;(byte[])&gt;_paramList_0</t>
    <phoneticPr fontId="1" type="noConversion"/>
  </si>
  <si>
    <t>byte[]</t>
    <phoneticPr fontId="1" type="noConversion"/>
  </si>
  <si>
    <t>&lt;java.security.SecureRandom: void setSeed(byte[])&gt;_paramList_0</t>
    <phoneticPr fontId="1" type="noConversion"/>
  </si>
  <si>
    <t>&lt;javax.crypto.Cipher: javax.crypto.Cipher getInstance(java.lang.String)&gt;_paramList_0</t>
    <phoneticPr fontId="1" type="noConversion"/>
  </si>
  <si>
    <t>&lt;javax.crypto.spec.IvParameterSpec: void &lt;init&gt;(byte[],int,int)&gt;_paramList_0</t>
    <phoneticPr fontId="1" type="noConversion"/>
  </si>
  <si>
    <t>&lt;javax.crypto.spec.IvParameterSpec: void &lt;init&gt;(byte[])&gt;_paramList_0</t>
    <phoneticPr fontId="1" type="noConversion"/>
  </si>
  <si>
    <t>FP</t>
    <phoneticPr fontId="1" type="noConversion"/>
  </si>
  <si>
    <t>FN</t>
    <phoneticPr fontId="1" type="noConversion"/>
  </si>
  <si>
    <t>This sheet records the results of misuse classification.</t>
    <phoneticPr fontId="1" type="noConversion"/>
  </si>
  <si>
    <t>MASC-minimal_flaws</t>
    <phoneticPr fontId="1" type="noConversion"/>
  </si>
  <si>
    <t>This table records the results of ParamScope on MASC-minimal_flaws.</t>
    <phoneticPr fontId="1" type="noConversion"/>
  </si>
  <si>
    <t>This sheet records the results of parameter resolution</t>
    <phoneticPr fontId="1" type="noConversion"/>
  </si>
  <si>
    <t>API and Paramter Info</t>
    <phoneticPr fontId="1" type="noConversion"/>
  </si>
  <si>
    <t>Parameter Type</t>
    <phoneticPr fontId="1" type="noConversion"/>
  </si>
  <si>
    <t>Parameter Info</t>
    <phoneticPr fontId="1" type="noConversion"/>
  </si>
  <si>
    <t>Detection count</t>
    <phoneticPr fontId="1" type="noConversion"/>
  </si>
  <si>
    <t>Incorrect solution</t>
    <phoneticPr fontId="1" type="noConversion"/>
  </si>
  <si>
    <t>Correct solution</t>
    <phoneticPr fontId="1" type="noConversion"/>
  </si>
  <si>
    <t>Accuracy</t>
    <phoneticPr fontId="1" type="noConversion"/>
  </si>
  <si>
    <t>Null results</t>
    <phoneticPr fontId="1" type="noConversion"/>
  </si>
  <si>
    <t>1. Note that "Null results" do not necessarily indicate an incorrect solution. For example, In ParamScope's analysis, if a parameter originates from a caller’s argument, but the caller itself lacks a higher-level caller, then the null result is expected and correct.
2. We examined all incorrect solutions and confirmed that these results were caused by control-flow-related assignments, where two arrays were assigned values within a loop. This is a scenario that ParamScope is currently unable to analyze.</t>
    <phoneticPr fontId="1" type="noConversion"/>
  </si>
  <si>
    <t>bytes of IV</t>
    <phoneticPr fontId="1" type="noConversion"/>
  </si>
  <si>
    <t>Positive cases</t>
    <phoneticPr fontId="1" type="noConversion"/>
  </si>
  <si>
    <t>Positive reports</t>
    <phoneticPr fontId="1" type="noConversion"/>
  </si>
  <si>
    <t>Precision</t>
    <phoneticPr fontId="1" type="noConversion"/>
  </si>
  <si>
    <t>Recall</t>
    <phoneticPr fontId="1" type="noConversion"/>
  </si>
  <si>
    <t>MASC-minimal_flaws Info</t>
    <phoneticPr fontId="1" type="noConversion"/>
  </si>
  <si>
    <t>MASC-minimal_flaws Cases</t>
    <phoneticPr fontId="1" type="noConversion"/>
  </si>
  <si>
    <t>All Related cases</t>
    <phoneticPr fontId="1" type="noConversion"/>
  </si>
  <si>
    <t>Cipher cases</t>
    <phoneticPr fontId="1" type="noConversion"/>
  </si>
  <si>
    <t>IV cases</t>
    <phoneticPr fontId="1" type="noConversion"/>
  </si>
  <si>
    <t>MessageDigest cases</t>
    <phoneticPr fontId="1" type="noConversion"/>
  </si>
  <si>
    <t>RandomNumber cases</t>
    <phoneticPr fontId="1" type="noConversion"/>
  </si>
  <si>
    <t>33 (1 Negative)</t>
    <phoneticPr fontId="1" type="noConversion"/>
  </si>
  <si>
    <t>14 (1 Negative)</t>
    <phoneticPr fontId="1" type="noConversion"/>
  </si>
  <si>
    <t>ParamScope results</t>
    <phoneticPr fontId="1" type="noConversion"/>
  </si>
  <si>
    <t>Note</t>
    <phoneticPr fontId="1" type="noConversion"/>
  </si>
  <si>
    <t>Note: We identified two cases with inaccurate parsed values in the results. The two cases are positive, and although the resolution was inaccurate, ParamScope still correctly classified them.</t>
    <phoneticPr fontId="1" type="noConversion"/>
  </si>
  <si>
    <t>Note and Incorrect solution analysis</t>
    <phoneticPr fontId="1" type="noConversion"/>
  </si>
  <si>
    <t>Accuracy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</si>
</sst>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1" xfId="0" applyFill="1" applyBorder="1"/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76" fontId="0" fillId="3" borderId="2" xfId="0" applyNumberForma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6" fontId="3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B1" zoomScaleNormal="100" workbookViewId="0">
      <selection activeCell="J4" sqref="J4:J9"/>
    </sheetView>
  </sheetViews>
  <sheetFormatPr defaultRowHeight="14.25" x14ac:dyDescent="0.2"/>
  <cols>
    <col min="1" max="1" width="28.625" customWidth="1"/>
    <col min="2" max="2" width="34.5" bestFit="1" customWidth="1"/>
    <col min="3" max="3" width="21.125" bestFit="1" customWidth="1"/>
    <col min="4" max="4" width="22.125" customWidth="1"/>
    <col min="5" max="6" width="14" bestFit="1" customWidth="1"/>
    <col min="7" max="7" width="14" customWidth="1"/>
    <col min="8" max="8" width="13.125" customWidth="1"/>
    <col min="9" max="9" width="11.625" customWidth="1"/>
    <col min="10" max="10" width="41" customWidth="1"/>
  </cols>
  <sheetData>
    <row r="1" spans="1:10" ht="43.5" x14ac:dyDescent="0.25">
      <c r="A1" s="1" t="s">
        <v>13</v>
      </c>
      <c r="B1" s="4" t="s">
        <v>14</v>
      </c>
      <c r="C1" s="4" t="s">
        <v>12</v>
      </c>
    </row>
    <row r="2" spans="1:10" ht="18" x14ac:dyDescent="0.25">
      <c r="A2" s="1"/>
      <c r="B2" s="4"/>
      <c r="C2" s="4"/>
    </row>
    <row r="3" spans="1:10" ht="18" customHeight="1" x14ac:dyDescent="0.25">
      <c r="A3" s="24" t="s">
        <v>30</v>
      </c>
      <c r="B3" s="25"/>
      <c r="C3" s="26"/>
      <c r="D3" s="22" t="s">
        <v>39</v>
      </c>
      <c r="E3" s="22"/>
      <c r="F3" s="22"/>
      <c r="G3" s="22"/>
      <c r="H3" s="22"/>
      <c r="I3" s="22"/>
      <c r="J3" s="9" t="s">
        <v>40</v>
      </c>
    </row>
    <row r="4" spans="1:10" ht="18" customHeight="1" x14ac:dyDescent="0.2">
      <c r="A4" s="16"/>
      <c r="B4" s="18" t="s">
        <v>31</v>
      </c>
      <c r="C4" s="18" t="s">
        <v>26</v>
      </c>
      <c r="D4" s="14" t="s">
        <v>27</v>
      </c>
      <c r="E4" s="14" t="s">
        <v>10</v>
      </c>
      <c r="F4" s="14" t="s">
        <v>11</v>
      </c>
      <c r="G4" s="21" t="s">
        <v>43</v>
      </c>
      <c r="H4" s="14" t="s">
        <v>28</v>
      </c>
      <c r="I4" s="14" t="s">
        <v>29</v>
      </c>
      <c r="J4" s="23" t="s">
        <v>41</v>
      </c>
    </row>
    <row r="5" spans="1:10" x14ac:dyDescent="0.2">
      <c r="A5" s="16" t="s">
        <v>32</v>
      </c>
      <c r="B5" s="16">
        <v>34</v>
      </c>
      <c r="C5" s="16" t="s">
        <v>37</v>
      </c>
      <c r="D5" s="19">
        <v>33</v>
      </c>
      <c r="E5" s="19">
        <v>0</v>
      </c>
      <c r="F5" s="19">
        <v>0</v>
      </c>
      <c r="G5" s="20">
        <v>1</v>
      </c>
      <c r="H5" s="20">
        <v>1</v>
      </c>
      <c r="I5" s="20">
        <v>1</v>
      </c>
      <c r="J5" s="23"/>
    </row>
    <row r="6" spans="1:10" x14ac:dyDescent="0.2">
      <c r="A6" s="16" t="s">
        <v>33</v>
      </c>
      <c r="B6" s="16">
        <v>15</v>
      </c>
      <c r="C6" s="16" t="s">
        <v>38</v>
      </c>
      <c r="D6" s="15">
        <v>14</v>
      </c>
      <c r="E6" s="15">
        <v>0</v>
      </c>
      <c r="F6" s="15">
        <v>0</v>
      </c>
      <c r="G6" s="17">
        <v>1</v>
      </c>
      <c r="H6" s="17">
        <v>1</v>
      </c>
      <c r="I6" s="17">
        <v>1</v>
      </c>
      <c r="J6" s="23"/>
    </row>
    <row r="7" spans="1:10" x14ac:dyDescent="0.2">
      <c r="A7" s="16" t="s">
        <v>34</v>
      </c>
      <c r="B7" s="16">
        <v>5</v>
      </c>
      <c r="C7" s="16">
        <v>5</v>
      </c>
      <c r="D7" s="15">
        <v>5</v>
      </c>
      <c r="E7" s="15">
        <v>0</v>
      </c>
      <c r="F7" s="15">
        <v>0</v>
      </c>
      <c r="G7" s="17">
        <v>1</v>
      </c>
      <c r="H7" s="17">
        <v>1</v>
      </c>
      <c r="I7" s="17">
        <v>1</v>
      </c>
      <c r="J7" s="23"/>
    </row>
    <row r="8" spans="1:10" x14ac:dyDescent="0.2">
      <c r="A8" s="16" t="s">
        <v>35</v>
      </c>
      <c r="B8" s="16">
        <v>8</v>
      </c>
      <c r="C8" s="16">
        <v>8</v>
      </c>
      <c r="D8" s="15">
        <v>8</v>
      </c>
      <c r="E8" s="15">
        <v>0</v>
      </c>
      <c r="F8" s="15">
        <v>0</v>
      </c>
      <c r="G8" s="17">
        <v>1</v>
      </c>
      <c r="H8" s="17">
        <v>1</v>
      </c>
      <c r="I8" s="17">
        <v>1</v>
      </c>
      <c r="J8" s="23"/>
    </row>
    <row r="9" spans="1:10" x14ac:dyDescent="0.2">
      <c r="A9" s="16" t="s">
        <v>36</v>
      </c>
      <c r="B9" s="16">
        <v>6</v>
      </c>
      <c r="C9" s="16">
        <v>6</v>
      </c>
      <c r="D9" s="15">
        <v>6</v>
      </c>
      <c r="E9" s="15">
        <v>0</v>
      </c>
      <c r="F9" s="15">
        <v>0</v>
      </c>
      <c r="G9" s="17">
        <v>1</v>
      </c>
      <c r="H9" s="17">
        <v>1</v>
      </c>
      <c r="I9" s="17">
        <v>1</v>
      </c>
      <c r="J9" s="23"/>
    </row>
    <row r="10" spans="1:10" x14ac:dyDescent="0.2">
      <c r="B10" s="2"/>
      <c r="C10" s="2"/>
      <c r="D10" s="2"/>
      <c r="E10" s="2"/>
      <c r="F10" s="2"/>
      <c r="G10" s="2"/>
    </row>
    <row r="19" spans="3:3" x14ac:dyDescent="0.2">
      <c r="C19" s="3"/>
    </row>
  </sheetData>
  <mergeCells count="3">
    <mergeCell ref="D3:I3"/>
    <mergeCell ref="J4:J9"/>
    <mergeCell ref="A3:C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10D-7801-4B18-B965-3C9E12DBD2F9}">
  <dimension ref="A1:I10"/>
  <sheetViews>
    <sheetView topLeftCell="B1" workbookViewId="0">
      <selection activeCell="I4" sqref="I4:I10"/>
    </sheetView>
  </sheetViews>
  <sheetFormatPr defaultRowHeight="14.25" x14ac:dyDescent="0.2"/>
  <cols>
    <col min="1" max="1" width="85.625" customWidth="1"/>
    <col min="2" max="2" width="24.125" bestFit="1" customWidth="1"/>
    <col min="3" max="3" width="20.5" bestFit="1" customWidth="1"/>
    <col min="4" max="4" width="20" bestFit="1" customWidth="1"/>
    <col min="5" max="5" width="19" bestFit="1" customWidth="1"/>
    <col min="6" max="6" width="20.875" bestFit="1" customWidth="1"/>
    <col min="7" max="7" width="19.75" bestFit="1" customWidth="1"/>
    <col min="8" max="8" width="14" bestFit="1" customWidth="1"/>
    <col min="9" max="9" width="60.375" customWidth="1"/>
  </cols>
  <sheetData>
    <row r="1" spans="1:9" ht="43.5" x14ac:dyDescent="0.25">
      <c r="A1" s="1" t="s">
        <v>13</v>
      </c>
      <c r="B1" s="4" t="s">
        <v>14</v>
      </c>
      <c r="C1" s="4" t="s">
        <v>15</v>
      </c>
    </row>
    <row r="3" spans="1:9" ht="18" x14ac:dyDescent="0.25">
      <c r="A3" s="5" t="s">
        <v>16</v>
      </c>
      <c r="B3" s="6" t="s">
        <v>17</v>
      </c>
      <c r="C3" s="6" t="s">
        <v>18</v>
      </c>
      <c r="D3" s="14" t="s">
        <v>19</v>
      </c>
      <c r="E3" s="14" t="s">
        <v>23</v>
      </c>
      <c r="F3" s="14" t="s">
        <v>20</v>
      </c>
      <c r="G3" s="14" t="s">
        <v>21</v>
      </c>
      <c r="H3" s="14" t="s">
        <v>22</v>
      </c>
      <c r="I3" s="14" t="s">
        <v>42</v>
      </c>
    </row>
    <row r="4" spans="1:9" ht="14.25" customHeight="1" x14ac:dyDescent="0.2">
      <c r="A4" s="7" t="s">
        <v>2</v>
      </c>
      <c r="B4" s="7" t="s">
        <v>3</v>
      </c>
      <c r="C4" s="8" t="s">
        <v>0</v>
      </c>
      <c r="D4" s="10">
        <v>8</v>
      </c>
      <c r="E4" s="10">
        <v>0</v>
      </c>
      <c r="F4" s="10">
        <v>0</v>
      </c>
      <c r="G4" s="10">
        <v>8</v>
      </c>
      <c r="H4" s="11">
        <f>G4/D4</f>
        <v>1</v>
      </c>
      <c r="I4" s="23" t="s">
        <v>24</v>
      </c>
    </row>
    <row r="5" spans="1:9" x14ac:dyDescent="0.2">
      <c r="A5" s="7" t="s">
        <v>4</v>
      </c>
      <c r="B5" s="7" t="s">
        <v>5</v>
      </c>
      <c r="C5" s="8" t="s">
        <v>1</v>
      </c>
      <c r="D5" s="10">
        <v>2</v>
      </c>
      <c r="E5" s="10">
        <v>0</v>
      </c>
      <c r="F5" s="10">
        <v>0</v>
      </c>
      <c r="G5" s="10">
        <v>2</v>
      </c>
      <c r="H5" s="11">
        <f>G5/D5</f>
        <v>1</v>
      </c>
      <c r="I5" s="23"/>
    </row>
    <row r="6" spans="1:9" x14ac:dyDescent="0.2">
      <c r="A6" s="7" t="s">
        <v>6</v>
      </c>
      <c r="B6" s="7" t="s">
        <v>5</v>
      </c>
      <c r="C6" s="8" t="s">
        <v>1</v>
      </c>
      <c r="D6" s="10">
        <v>4</v>
      </c>
      <c r="E6" s="10">
        <v>0</v>
      </c>
      <c r="F6" s="10">
        <v>0</v>
      </c>
      <c r="G6" s="10">
        <v>4</v>
      </c>
      <c r="H6" s="11">
        <f>G6/D6</f>
        <v>1</v>
      </c>
      <c r="I6" s="23"/>
    </row>
    <row r="7" spans="1:9" x14ac:dyDescent="0.2">
      <c r="A7" s="7" t="s">
        <v>7</v>
      </c>
      <c r="B7" s="7" t="s">
        <v>3</v>
      </c>
      <c r="C7" s="8" t="s">
        <v>0</v>
      </c>
      <c r="D7" s="10">
        <v>15</v>
      </c>
      <c r="E7" s="10">
        <v>0</v>
      </c>
      <c r="F7" s="10">
        <v>0</v>
      </c>
      <c r="G7" s="10">
        <v>15</v>
      </c>
      <c r="H7" s="11">
        <f t="shared" ref="H7:H10" si="0">G7/D7</f>
        <v>1</v>
      </c>
      <c r="I7" s="23"/>
    </row>
    <row r="8" spans="1:9" x14ac:dyDescent="0.2">
      <c r="A8" s="7" t="s">
        <v>8</v>
      </c>
      <c r="B8" s="7" t="s">
        <v>5</v>
      </c>
      <c r="C8" s="7" t="s">
        <v>25</v>
      </c>
      <c r="D8" s="10">
        <v>2</v>
      </c>
      <c r="E8" s="10">
        <v>0</v>
      </c>
      <c r="F8" s="10">
        <v>1</v>
      </c>
      <c r="G8" s="10">
        <v>1</v>
      </c>
      <c r="H8" s="11">
        <f t="shared" si="0"/>
        <v>0.5</v>
      </c>
      <c r="I8" s="23"/>
    </row>
    <row r="9" spans="1:9" x14ac:dyDescent="0.2">
      <c r="A9" s="7" t="s">
        <v>9</v>
      </c>
      <c r="B9" s="7" t="s">
        <v>5</v>
      </c>
      <c r="C9" s="7" t="s">
        <v>25</v>
      </c>
      <c r="D9" s="10">
        <v>5</v>
      </c>
      <c r="E9" s="10">
        <v>0</v>
      </c>
      <c r="F9" s="10">
        <v>1</v>
      </c>
      <c r="G9" s="10">
        <v>4</v>
      </c>
      <c r="H9" s="11">
        <f t="shared" si="0"/>
        <v>0.8</v>
      </c>
      <c r="I9" s="23"/>
    </row>
    <row r="10" spans="1:9" x14ac:dyDescent="0.2">
      <c r="D10" s="12">
        <f>SUM(D4:D9)</f>
        <v>36</v>
      </c>
      <c r="E10" s="12">
        <f t="shared" ref="E10:G10" si="1">SUM(E4:E9)</f>
        <v>0</v>
      </c>
      <c r="F10" s="12">
        <f t="shared" si="1"/>
        <v>2</v>
      </c>
      <c r="G10" s="12">
        <f t="shared" si="1"/>
        <v>34</v>
      </c>
      <c r="H10" s="13">
        <f t="shared" si="0"/>
        <v>0.94444444444444442</v>
      </c>
      <c r="I10" s="23"/>
    </row>
  </sheetData>
  <mergeCells count="1">
    <mergeCell ref="I4:I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Misuse Classification Results</vt:lpstr>
      <vt:lpstr>Parameter Resolve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B429</dc:creator>
  <cp:lastModifiedBy>Wei</cp:lastModifiedBy>
  <dcterms:created xsi:type="dcterms:W3CDTF">2015-06-05T18:19:34Z</dcterms:created>
  <dcterms:modified xsi:type="dcterms:W3CDTF">2025-04-13T08:42:53Z</dcterms:modified>
</cp:coreProperties>
</file>