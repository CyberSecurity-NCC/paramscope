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Erio\Desktop\ExperimentResults\_ExperimentsResultsNew\OWASP_Benchmark\"/>
    </mc:Choice>
  </mc:AlternateContent>
  <xr:revisionPtr revIDLastSave="0" documentId="13_ncr:1_{7D466326-C235-45BF-9E9F-AED26FF6EB44}" xr6:coauthVersionLast="36" xr6:coauthVersionMax="36" xr10:uidLastSave="{00000000-0000-0000-0000-000000000000}"/>
  <bookViews>
    <workbookView xWindow="0" yWindow="0" windowWidth="22260" windowHeight="12645" activeTab="1" xr2:uid="{00000000-000D-0000-FFFF-FFFF00000000}"/>
  </bookViews>
  <sheets>
    <sheet name="Misuse Classification Results" sheetId="2" r:id="rId1"/>
    <sheet name="Parameter Resolve Results" sheetId="1"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 i="1" l="1"/>
  <c r="I5" i="2"/>
  <c r="H5" i="2"/>
  <c r="I6" i="2" l="1"/>
  <c r="I7" i="2"/>
  <c r="H6" i="2"/>
  <c r="H7" i="2"/>
  <c r="E13" i="1" l="1"/>
  <c r="F13" i="1"/>
  <c r="G13" i="1"/>
  <c r="D13" i="1"/>
  <c r="H12" i="1"/>
  <c r="H11" i="1"/>
  <c r="H13" i="1" l="1"/>
  <c r="H7" i="1"/>
  <c r="H8" i="1"/>
  <c r="H9" i="1"/>
  <c r="H6" i="1"/>
  <c r="H5" i="1"/>
  <c r="H10" i="1" l="1"/>
</calcChain>
</file>

<file path=xl/sharedStrings.xml><?xml version="1.0" encoding="utf-8"?>
<sst xmlns="http://schemas.openxmlformats.org/spreadsheetml/2006/main" count="61" uniqueCount="47">
  <si>
    <t>algorithm name</t>
    <phoneticPr fontId="1" type="noConversion"/>
  </si>
  <si>
    <t>&lt;java.security.MessageDigest: java.security.MessageDigest getInstance(java.lang.String)&gt;_paramList_0</t>
    <phoneticPr fontId="1" type="noConversion"/>
  </si>
  <si>
    <t>String</t>
    <phoneticPr fontId="1" type="noConversion"/>
  </si>
  <si>
    <t>&lt;javax.crypto.Cipher: javax.crypto.Cipher getInstance(java.lang.String)&gt;_paramList_0</t>
    <phoneticPr fontId="1" type="noConversion"/>
  </si>
  <si>
    <t>&lt;java.security.KeyPairGenerator: java.security.KeyPairGenerator getInstance(java.lang.String)&gt;_paramList_0</t>
    <phoneticPr fontId="1" type="noConversion"/>
  </si>
  <si>
    <t>&lt;java.security.Secur&lt;java.security.KeyPairGenerator: void initialize(int)&gt;_paramList_0eRandom: void &lt;init&gt;(byte[])&gt;_paramList_0</t>
    <phoneticPr fontId="1" type="noConversion"/>
  </si>
  <si>
    <t>int</t>
    <phoneticPr fontId="1" type="noConversion"/>
  </si>
  <si>
    <t>key size</t>
    <phoneticPr fontId="1" type="noConversion"/>
  </si>
  <si>
    <t>&lt;java.security.MessageDigest: java.security.MessageDigest getInstance(java.lang.String,java.lang.String)&gt;_paramList_0</t>
    <phoneticPr fontId="1" type="noConversion"/>
  </si>
  <si>
    <t>&lt;java.security.MessageDigest: java.security.MessageDigest getInstance(java.lang.String,java.security.Provider)&gt;_paramList_0</t>
    <phoneticPr fontId="1" type="noConversion"/>
  </si>
  <si>
    <t>&lt;javax.crypto.Cipher: javax.crypto.Cipher getInstance(java.lang.String,java.lang.String)&gt;_paramList_0</t>
    <phoneticPr fontId="1" type="noConversion"/>
  </si>
  <si>
    <t>&lt;javax.crypto.Cipher: javax.crypto.Cipher getInstance(java.lang.String,java.security.Provider)&gt;_paramList_0</t>
    <phoneticPr fontId="1" type="noConversion"/>
  </si>
  <si>
    <t>&lt;javax.crypto.spec.IvParameterSpec: void &lt;init&gt;(byte[])&gt;_paramList_0</t>
    <phoneticPr fontId="1" type="noConversion"/>
  </si>
  <si>
    <t>byte[]</t>
    <phoneticPr fontId="1" type="noConversion"/>
  </si>
  <si>
    <t>OWASPBench</t>
    <phoneticPr fontId="1" type="noConversion"/>
  </si>
  <si>
    <t>FP</t>
    <phoneticPr fontId="1" type="noConversion"/>
  </si>
  <si>
    <t>FN</t>
    <phoneticPr fontId="1" type="noConversion"/>
  </si>
  <si>
    <t>Cipher cases</t>
    <phoneticPr fontId="1" type="noConversion"/>
  </si>
  <si>
    <t>Hash cases</t>
    <phoneticPr fontId="1" type="noConversion"/>
  </si>
  <si>
    <t>Positive cases</t>
    <phoneticPr fontId="1" type="noConversion"/>
  </si>
  <si>
    <t>OWASPBench Info</t>
    <phoneticPr fontId="1" type="noConversion"/>
  </si>
  <si>
    <t>ParamScope results</t>
    <phoneticPr fontId="1" type="noConversion"/>
  </si>
  <si>
    <t>Precision</t>
    <phoneticPr fontId="1" type="noConversion"/>
  </si>
  <si>
    <t>Recall</t>
    <phoneticPr fontId="1" type="noConversion"/>
  </si>
  <si>
    <t>Positive reports</t>
    <phoneticPr fontId="1" type="noConversion"/>
  </si>
  <si>
    <t>259 (223 Negative)</t>
    <phoneticPr fontId="1" type="noConversion"/>
  </si>
  <si>
    <t>130 (116 Negative)</t>
    <phoneticPr fontId="1" type="noConversion"/>
  </si>
  <si>
    <t>129 (107 Negative)</t>
    <phoneticPr fontId="1" type="noConversion"/>
  </si>
  <si>
    <t>Note: We examined all FP and FN and confirmed that these results were caused by missing dependencies in "benchmark.properties" during dynamic resolution, leading to incorrect value.</t>
    <phoneticPr fontId="1" type="noConversion"/>
  </si>
  <si>
    <t>FP and FN analysis</t>
    <phoneticPr fontId="1" type="noConversion"/>
  </si>
  <si>
    <t>This sheet records the results of misuse classification.</t>
    <phoneticPr fontId="1" type="noConversion"/>
  </si>
  <si>
    <t>This table records the results of ParamScope on OWASPBench.</t>
    <phoneticPr fontId="1" type="noConversion"/>
  </si>
  <si>
    <t>API and Paramter Info</t>
    <phoneticPr fontId="1" type="noConversion"/>
  </si>
  <si>
    <t>Detection count</t>
    <phoneticPr fontId="1" type="noConversion"/>
  </si>
  <si>
    <t>Incorrect solution</t>
    <phoneticPr fontId="1" type="noConversion"/>
  </si>
  <si>
    <t>Correct solution</t>
    <phoneticPr fontId="1" type="noConversion"/>
  </si>
  <si>
    <t>Accuracy</t>
    <phoneticPr fontId="1" type="noConversion"/>
  </si>
  <si>
    <t>Parameter Type</t>
    <phoneticPr fontId="1" type="noConversion"/>
  </si>
  <si>
    <t>Parameter Info</t>
    <phoneticPr fontId="1" type="noConversion"/>
  </si>
  <si>
    <t>bytes of IV</t>
    <phoneticPr fontId="1" type="noConversion"/>
  </si>
  <si>
    <t>This sheet records the results of parameter resolution</t>
    <phoneticPr fontId="1" type="noConversion"/>
  </si>
  <si>
    <t>Null results</t>
    <phoneticPr fontId="1" type="noConversion"/>
  </si>
  <si>
    <t>1. Note that "Null results" do not necessarily indicate an incorrect solution. For example, In ParamScope's analysis, if a parameter originates from a caller’s argument, but the caller itself lacks a higher-level caller, then the null result is expected and correct.
2. We examined all incorrect solutions and confirmed that these results were caused by missing dependencies in "benchmark.properties" during dynamic resolution, leading to incorrect value.</t>
    <phoneticPr fontId="1" type="noConversion"/>
  </si>
  <si>
    <t>OWASPBench Cases</t>
    <phoneticPr fontId="1" type="noConversion"/>
  </si>
  <si>
    <t>All Related cases</t>
    <phoneticPr fontId="1" type="noConversion"/>
  </si>
  <si>
    <t>Note and Incorrect solution analysis</t>
    <phoneticPr fontId="1" type="noConversion"/>
  </si>
  <si>
    <t>Accuracy</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</si>
</sst>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_ "/>
  </numFmts>
  <fonts count="6" x14ac:knownFonts="1">
    <font>
      <sz val="11"/>
      <color theme="1"/>
      <name val="等线"/>
      <family val="2"/>
      <scheme val="minor"/>
    </font>
    <font>
      <sz val="9"/>
      <name val="等线"/>
      <family val="3"/>
      <charset val="134"/>
      <scheme val="minor"/>
    </font>
    <font>
      <b/>
      <sz val="14"/>
      <color theme="1"/>
      <name val="等线"/>
      <family val="3"/>
      <charset val="134"/>
      <scheme val="minor"/>
    </font>
    <font>
      <b/>
      <sz val="11"/>
      <color theme="1"/>
      <name val="等线"/>
      <family val="3"/>
      <charset val="134"/>
      <scheme val="minor"/>
    </font>
    <font>
      <sz val="10"/>
      <color theme="1"/>
      <name val="等线"/>
      <family val="3"/>
      <charset val="134"/>
      <scheme val="minor"/>
    </font>
    <font>
      <sz val="11"/>
      <color theme="1"/>
      <name val="等线"/>
      <family val="3"/>
      <charset val="134"/>
      <scheme val="minor"/>
    </font>
  </fonts>
  <fills count="4">
    <fill>
      <patternFill patternType="none"/>
    </fill>
    <fill>
      <patternFill patternType="gray125"/>
    </fill>
    <fill>
      <patternFill patternType="solid">
        <fgColor theme="0" tint="-4.9989318521683403E-2"/>
        <bgColor indexed="64"/>
      </patternFill>
    </fill>
    <fill>
      <patternFill patternType="solid">
        <fgColor them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2" fillId="0" borderId="0" xfId="0" applyFont="1"/>
    <xf numFmtId="0" fontId="2" fillId="0" borderId="0" xfId="0" applyFont="1" applyAlignment="1">
      <alignment wrapText="1"/>
    </xf>
    <xf numFmtId="0" fontId="0" fillId="2" borderId="1" xfId="0" applyFill="1" applyBorder="1"/>
    <xf numFmtId="0" fontId="2" fillId="3" borderId="1" xfId="0" applyFont="1" applyFill="1" applyBorder="1" applyAlignment="1">
      <alignment horizontal="center"/>
    </xf>
    <xf numFmtId="0" fontId="0" fillId="3" borderId="1" xfId="0" applyFill="1" applyBorder="1" applyAlignment="1">
      <alignment horizontal="center"/>
    </xf>
    <xf numFmtId="0" fontId="0" fillId="0" borderId="0" xfId="0" applyAlignment="1">
      <alignment horizontal="left"/>
    </xf>
    <xf numFmtId="0" fontId="3" fillId="0" borderId="0" xfId="0" applyFont="1" applyAlignment="1">
      <alignment wrapText="1"/>
    </xf>
    <xf numFmtId="0" fontId="2" fillId="2" borderId="5" xfId="0" applyFont="1" applyFill="1" applyBorder="1"/>
    <xf numFmtId="0" fontId="0" fillId="2" borderId="5" xfId="0" applyFill="1" applyBorder="1"/>
    <xf numFmtId="176" fontId="0" fillId="3" borderId="1" xfId="0" applyNumberFormat="1" applyFill="1" applyBorder="1" applyAlignment="1">
      <alignment horizontal="center"/>
    </xf>
    <xf numFmtId="0" fontId="3" fillId="3" borderId="1" xfId="0" applyFont="1" applyFill="1" applyBorder="1" applyAlignment="1">
      <alignment horizontal="center"/>
    </xf>
    <xf numFmtId="176" fontId="3" fillId="3" borderId="1" xfId="0" applyNumberFormat="1" applyFont="1" applyFill="1" applyBorder="1" applyAlignment="1">
      <alignment horizont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176" fontId="0" fillId="3" borderId="1" xfId="0" applyNumberFormat="1" applyFill="1" applyBorder="1" applyAlignment="1">
      <alignment horizontal="center" vertical="center"/>
    </xf>
    <xf numFmtId="0" fontId="3" fillId="3" borderId="1" xfId="0" applyFont="1" applyFill="1" applyBorder="1" applyAlignment="1">
      <alignment horizontal="center" vertical="center"/>
    </xf>
    <xf numFmtId="176" fontId="3" fillId="3"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176" fontId="5" fillId="3" borderId="1" xfId="0" applyNumberFormat="1" applyFont="1" applyFill="1" applyBorder="1" applyAlignment="1">
      <alignment horizontal="center" vertical="center"/>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4" fillId="3" borderId="1" xfId="0" applyFont="1" applyFill="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21966-29BD-4023-BD99-023650944B18}">
  <dimension ref="A1:J13"/>
  <sheetViews>
    <sheetView workbookViewId="0">
      <selection activeCell="J17" sqref="J17"/>
    </sheetView>
  </sheetViews>
  <sheetFormatPr defaultRowHeight="14.25" x14ac:dyDescent="0.2"/>
  <cols>
    <col min="1" max="1" width="17.25" customWidth="1"/>
    <col min="2" max="2" width="27.5" bestFit="1" customWidth="1"/>
    <col min="3" max="3" width="21.125" bestFit="1" customWidth="1"/>
    <col min="4" max="4" width="22.125" customWidth="1"/>
    <col min="5" max="6" width="14" bestFit="1" customWidth="1"/>
    <col min="7" max="7" width="14" customWidth="1"/>
    <col min="8" max="8" width="13.125" customWidth="1"/>
    <col min="9" max="9" width="11.625" customWidth="1"/>
    <col min="10" max="10" width="41" customWidth="1"/>
  </cols>
  <sheetData>
    <row r="1" spans="1:10" ht="43.5" x14ac:dyDescent="0.25">
      <c r="A1" s="2" t="s">
        <v>14</v>
      </c>
      <c r="B1" s="7" t="s">
        <v>31</v>
      </c>
      <c r="C1" s="7" t="s">
        <v>30</v>
      </c>
    </row>
    <row r="3" spans="1:10" ht="18" x14ac:dyDescent="0.25">
      <c r="A3" s="26" t="s">
        <v>20</v>
      </c>
      <c r="B3" s="27"/>
      <c r="C3" s="28"/>
      <c r="D3" s="25" t="s">
        <v>21</v>
      </c>
      <c r="E3" s="25"/>
      <c r="F3" s="25"/>
      <c r="G3" s="25"/>
      <c r="H3" s="25"/>
      <c r="I3" s="25"/>
      <c r="J3" s="4" t="s">
        <v>29</v>
      </c>
    </row>
    <row r="4" spans="1:10" ht="18" x14ac:dyDescent="0.2">
      <c r="A4" s="15"/>
      <c r="B4" s="13" t="s">
        <v>43</v>
      </c>
      <c r="C4" s="13" t="s">
        <v>19</v>
      </c>
      <c r="D4" s="14" t="s">
        <v>24</v>
      </c>
      <c r="E4" s="14" t="s">
        <v>15</v>
      </c>
      <c r="F4" s="14" t="s">
        <v>16</v>
      </c>
      <c r="G4" s="20" t="s">
        <v>46</v>
      </c>
      <c r="H4" s="14" t="s">
        <v>22</v>
      </c>
      <c r="I4" s="14" t="s">
        <v>23</v>
      </c>
      <c r="J4" s="22" t="s">
        <v>28</v>
      </c>
    </row>
    <row r="5" spans="1:10" x14ac:dyDescent="0.2">
      <c r="A5" s="15" t="s">
        <v>44</v>
      </c>
      <c r="B5" s="15">
        <v>482</v>
      </c>
      <c r="C5" s="15" t="s">
        <v>25</v>
      </c>
      <c r="D5" s="18">
        <v>246</v>
      </c>
      <c r="E5" s="18">
        <v>27</v>
      </c>
      <c r="F5" s="18">
        <v>40</v>
      </c>
      <c r="G5" s="19">
        <v>0.86099999999999999</v>
      </c>
      <c r="H5" s="19">
        <f>(D5-E5)/D5</f>
        <v>0.8902439024390244</v>
      </c>
      <c r="I5" s="19">
        <f>(D5-E5)/(D5-E5+F5)</f>
        <v>0.84555984555984554</v>
      </c>
      <c r="J5" s="23"/>
    </row>
    <row r="6" spans="1:10" x14ac:dyDescent="0.2">
      <c r="A6" s="15" t="s">
        <v>17</v>
      </c>
      <c r="B6" s="15">
        <v>246</v>
      </c>
      <c r="C6" s="15" t="s">
        <v>26</v>
      </c>
      <c r="D6" s="16">
        <v>157</v>
      </c>
      <c r="E6" s="16">
        <v>27</v>
      </c>
      <c r="F6" s="16">
        <v>0</v>
      </c>
      <c r="G6" s="17">
        <v>0.89019999999999999</v>
      </c>
      <c r="H6" s="21">
        <f t="shared" ref="H6:H7" si="0">(D6-E6)/D6</f>
        <v>0.82802547770700641</v>
      </c>
      <c r="I6" s="21">
        <f t="shared" ref="I6:I7" si="1">(D6-E6)/(D6-E6+F6)</f>
        <v>1</v>
      </c>
      <c r="J6" s="23"/>
    </row>
    <row r="7" spans="1:10" x14ac:dyDescent="0.2">
      <c r="A7" s="15" t="s">
        <v>18</v>
      </c>
      <c r="B7" s="15">
        <v>236</v>
      </c>
      <c r="C7" s="15" t="s">
        <v>27</v>
      </c>
      <c r="D7" s="16">
        <v>89</v>
      </c>
      <c r="E7" s="16">
        <v>0</v>
      </c>
      <c r="F7" s="16">
        <v>40</v>
      </c>
      <c r="G7" s="17">
        <v>0.83050000000000002</v>
      </c>
      <c r="H7" s="21">
        <f t="shared" si="0"/>
        <v>1</v>
      </c>
      <c r="I7" s="21">
        <f t="shared" si="1"/>
        <v>0.68992248062015504</v>
      </c>
      <c r="J7" s="24"/>
    </row>
    <row r="12" spans="1:10" x14ac:dyDescent="0.2">
      <c r="H12" s="6"/>
    </row>
    <row r="13" spans="1:10" x14ac:dyDescent="0.2">
      <c r="H13" s="6"/>
    </row>
  </sheetData>
  <mergeCells count="3">
    <mergeCell ref="J4:J7"/>
    <mergeCell ref="D3:I3"/>
    <mergeCell ref="A3:C3"/>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tabSelected="1" zoomScaleNormal="100" workbookViewId="0">
      <selection activeCell="H6" sqref="H6"/>
    </sheetView>
  </sheetViews>
  <sheetFormatPr defaultRowHeight="14.25" x14ac:dyDescent="0.2"/>
  <cols>
    <col min="1" max="1" width="105.75" customWidth="1"/>
    <col min="2" max="2" width="19.5" bestFit="1" customWidth="1"/>
    <col min="3" max="3" width="20.5" bestFit="1" customWidth="1"/>
    <col min="4" max="4" width="20" bestFit="1" customWidth="1"/>
    <col min="5" max="5" width="19" bestFit="1" customWidth="1"/>
    <col min="6" max="6" width="20.875" bestFit="1" customWidth="1"/>
    <col min="7" max="7" width="19.75" bestFit="1" customWidth="1"/>
    <col min="8" max="8" width="14" bestFit="1" customWidth="1"/>
    <col min="9" max="9" width="41.125" customWidth="1"/>
    <col min="10" max="10" width="20.5" bestFit="1" customWidth="1"/>
  </cols>
  <sheetData>
    <row r="1" spans="1:9" ht="43.5" x14ac:dyDescent="0.25">
      <c r="A1" s="2" t="s">
        <v>14</v>
      </c>
      <c r="B1" s="7" t="s">
        <v>31</v>
      </c>
      <c r="C1" s="7" t="s">
        <v>40</v>
      </c>
    </row>
    <row r="2" spans="1:9" ht="18" x14ac:dyDescent="0.25">
      <c r="A2" s="2"/>
      <c r="B2" s="2"/>
      <c r="C2" s="2"/>
      <c r="D2" s="7"/>
      <c r="E2" s="7"/>
    </row>
    <row r="3" spans="1:9" ht="18" x14ac:dyDescent="0.25">
      <c r="A3" s="8" t="s">
        <v>32</v>
      </c>
      <c r="B3" s="13" t="s">
        <v>37</v>
      </c>
      <c r="C3" s="13" t="s">
        <v>38</v>
      </c>
      <c r="D3" s="14" t="s">
        <v>33</v>
      </c>
      <c r="E3" s="14" t="s">
        <v>41</v>
      </c>
      <c r="F3" s="14" t="s">
        <v>34</v>
      </c>
      <c r="G3" s="14" t="s">
        <v>35</v>
      </c>
      <c r="H3" s="14" t="s">
        <v>36</v>
      </c>
      <c r="I3" s="14" t="s">
        <v>45</v>
      </c>
    </row>
    <row r="4" spans="1:9" x14ac:dyDescent="0.2">
      <c r="A4" s="9" t="s">
        <v>4</v>
      </c>
      <c r="B4" s="3" t="s">
        <v>2</v>
      </c>
      <c r="C4" s="3" t="s">
        <v>0</v>
      </c>
      <c r="D4" s="5">
        <v>1</v>
      </c>
      <c r="E4" s="5">
        <v>0</v>
      </c>
      <c r="F4" s="5">
        <v>0</v>
      </c>
      <c r="G4" s="5">
        <v>1</v>
      </c>
      <c r="H4" s="10">
        <f>G4/D4</f>
        <v>1</v>
      </c>
      <c r="I4" s="29" t="s">
        <v>42</v>
      </c>
    </row>
    <row r="5" spans="1:9" x14ac:dyDescent="0.2">
      <c r="A5" s="9" t="s">
        <v>5</v>
      </c>
      <c r="B5" s="3" t="s">
        <v>6</v>
      </c>
      <c r="C5" s="3" t="s">
        <v>7</v>
      </c>
      <c r="D5" s="5">
        <v>1</v>
      </c>
      <c r="E5" s="5">
        <v>0</v>
      </c>
      <c r="F5" s="5">
        <v>0</v>
      </c>
      <c r="G5" s="5">
        <v>1</v>
      </c>
      <c r="H5" s="10">
        <f>G5/D5</f>
        <v>1</v>
      </c>
      <c r="I5" s="29"/>
    </row>
    <row r="6" spans="1:9" x14ac:dyDescent="0.2">
      <c r="A6" s="9" t="s">
        <v>1</v>
      </c>
      <c r="B6" s="3" t="s">
        <v>2</v>
      </c>
      <c r="C6" s="3" t="s">
        <v>0</v>
      </c>
      <c r="D6" s="5">
        <v>124</v>
      </c>
      <c r="E6" s="5">
        <v>0</v>
      </c>
      <c r="F6" s="5">
        <v>72</v>
      </c>
      <c r="G6" s="5">
        <v>52</v>
      </c>
      <c r="H6" s="10">
        <f>G6/D6</f>
        <v>0.41935483870967744</v>
      </c>
      <c r="I6" s="29"/>
    </row>
    <row r="7" spans="1:9" x14ac:dyDescent="0.2">
      <c r="A7" s="9" t="s">
        <v>8</v>
      </c>
      <c r="B7" s="3" t="s">
        <v>2</v>
      </c>
      <c r="C7" s="3" t="s">
        <v>0</v>
      </c>
      <c r="D7" s="5">
        <v>112</v>
      </c>
      <c r="E7" s="5">
        <v>0</v>
      </c>
      <c r="F7" s="5">
        <v>0</v>
      </c>
      <c r="G7" s="5">
        <v>112</v>
      </c>
      <c r="H7" s="10">
        <f t="shared" ref="H7:H10" si="0">G7/D7</f>
        <v>1</v>
      </c>
      <c r="I7" s="29"/>
    </row>
    <row r="8" spans="1:9" x14ac:dyDescent="0.2">
      <c r="A8" s="9" t="s">
        <v>9</v>
      </c>
      <c r="B8" s="3" t="s">
        <v>2</v>
      </c>
      <c r="C8" s="3" t="s">
        <v>0</v>
      </c>
      <c r="D8" s="5">
        <v>47</v>
      </c>
      <c r="E8" s="5">
        <v>0</v>
      </c>
      <c r="F8" s="5">
        <v>0</v>
      </c>
      <c r="G8" s="5">
        <v>47</v>
      </c>
      <c r="H8" s="10">
        <f t="shared" si="0"/>
        <v>1</v>
      </c>
      <c r="I8" s="29"/>
    </row>
    <row r="9" spans="1:9" x14ac:dyDescent="0.2">
      <c r="A9" s="9" t="s">
        <v>3</v>
      </c>
      <c r="B9" s="3" t="s">
        <v>2</v>
      </c>
      <c r="C9" s="3" t="s">
        <v>0</v>
      </c>
      <c r="D9" s="5">
        <v>141</v>
      </c>
      <c r="E9" s="5">
        <v>0</v>
      </c>
      <c r="F9" s="5">
        <v>60</v>
      </c>
      <c r="G9" s="5">
        <v>81</v>
      </c>
      <c r="H9" s="10">
        <f t="shared" si="0"/>
        <v>0.57446808510638303</v>
      </c>
      <c r="I9" s="29"/>
    </row>
    <row r="10" spans="1:9" x14ac:dyDescent="0.2">
      <c r="A10" s="9" t="s">
        <v>10</v>
      </c>
      <c r="B10" s="3" t="s">
        <v>2</v>
      </c>
      <c r="C10" s="3" t="s">
        <v>0</v>
      </c>
      <c r="D10" s="5">
        <v>32</v>
      </c>
      <c r="E10" s="5">
        <v>0</v>
      </c>
      <c r="F10" s="5">
        <v>0</v>
      </c>
      <c r="G10" s="5">
        <v>32</v>
      </c>
      <c r="H10" s="10">
        <f t="shared" si="0"/>
        <v>1</v>
      </c>
      <c r="I10" s="29"/>
    </row>
    <row r="11" spans="1:9" x14ac:dyDescent="0.2">
      <c r="A11" s="9" t="s">
        <v>11</v>
      </c>
      <c r="B11" s="3" t="s">
        <v>2</v>
      </c>
      <c r="C11" s="3" t="s">
        <v>0</v>
      </c>
      <c r="D11" s="5">
        <v>51</v>
      </c>
      <c r="E11" s="5">
        <v>0</v>
      </c>
      <c r="F11" s="5">
        <v>0</v>
      </c>
      <c r="G11" s="5">
        <v>51</v>
      </c>
      <c r="H11" s="10">
        <f>G11/D11</f>
        <v>1</v>
      </c>
      <c r="I11" s="29"/>
    </row>
    <row r="12" spans="1:9" x14ac:dyDescent="0.2">
      <c r="A12" s="9" t="s">
        <v>12</v>
      </c>
      <c r="B12" s="3" t="s">
        <v>13</v>
      </c>
      <c r="C12" s="3" t="s">
        <v>39</v>
      </c>
      <c r="D12" s="5">
        <v>97</v>
      </c>
      <c r="E12" s="5">
        <v>0</v>
      </c>
      <c r="F12" s="5">
        <v>0</v>
      </c>
      <c r="G12" s="5">
        <v>97</v>
      </c>
      <c r="H12" s="10">
        <f>G12/D12</f>
        <v>1</v>
      </c>
      <c r="I12" s="29"/>
    </row>
    <row r="13" spans="1:9" x14ac:dyDescent="0.2">
      <c r="D13" s="11">
        <f>SUM(D4:D12)</f>
        <v>606</v>
      </c>
      <c r="E13" s="11">
        <f t="shared" ref="E13:G13" si="1">SUM(E4:E12)</f>
        <v>0</v>
      </c>
      <c r="F13" s="11">
        <f t="shared" si="1"/>
        <v>132</v>
      </c>
      <c r="G13" s="11">
        <f t="shared" si="1"/>
        <v>474</v>
      </c>
      <c r="H13" s="12">
        <f>G13/D13</f>
        <v>0.78217821782178221</v>
      </c>
      <c r="I13" s="29"/>
    </row>
    <row r="22" spans="4:8" ht="18" x14ac:dyDescent="0.25">
      <c r="D22" s="1"/>
      <c r="E22" s="1"/>
      <c r="F22" s="1"/>
      <c r="G22" s="1"/>
      <c r="H22" s="1"/>
    </row>
  </sheetData>
  <mergeCells count="1">
    <mergeCell ref="I4:I13"/>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Misuse Classification Results</vt:lpstr>
      <vt:lpstr>Parameter Resolve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B429</dc:creator>
  <cp:lastModifiedBy>Wei</cp:lastModifiedBy>
  <dcterms:created xsi:type="dcterms:W3CDTF">2015-06-05T18:19:34Z</dcterms:created>
  <dcterms:modified xsi:type="dcterms:W3CDTF">2025-04-13T08:41:25Z</dcterms:modified>
</cp:coreProperties>
</file>